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in\Projects\SVN\Sniffer900\Documents\Hardware Manuals\Turbo Pump\"/>
    </mc:Choice>
  </mc:AlternateContent>
  <bookViews>
    <workbookView xWindow="0" yWindow="0" windowWidth="28800" windowHeight="12585" activeTab="1"/>
  </bookViews>
  <sheets>
    <sheet name="Telegram Send" sheetId="1" r:id="rId1"/>
    <sheet name="Telegram Receive" sheetId="2" r:id="rId2"/>
    <sheet name="Sheet4" sheetId="4"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6" i="2" l="1"/>
  <c r="C27" i="2" s="1"/>
  <c r="E27" i="2" s="1"/>
  <c r="D25" i="2"/>
  <c r="C26" i="2" s="1"/>
  <c r="E26" i="2" s="1"/>
  <c r="D24" i="2"/>
  <c r="C25" i="2" s="1"/>
  <c r="E25" i="2" s="1"/>
  <c r="D23" i="2"/>
  <c r="C24" i="2" s="1"/>
  <c r="E24" i="2" s="1"/>
  <c r="D22" i="2"/>
  <c r="C23" i="2" s="1"/>
  <c r="E23" i="2" s="1"/>
  <c r="D21" i="2"/>
  <c r="C22" i="2" s="1"/>
  <c r="E22" i="2" s="1"/>
  <c r="D20" i="2"/>
  <c r="C21" i="2" s="1"/>
  <c r="E21" i="2" s="1"/>
  <c r="D19" i="2"/>
  <c r="C20" i="2" s="1"/>
  <c r="E20" i="2" s="1"/>
  <c r="D18" i="2"/>
  <c r="C19" i="2" s="1"/>
  <c r="E19" i="2" s="1"/>
  <c r="D17" i="2"/>
  <c r="C18" i="2" s="1"/>
  <c r="E18" i="2" s="1"/>
  <c r="C3" i="2"/>
  <c r="F3" i="2" s="1"/>
  <c r="G3" i="2" s="1"/>
  <c r="D16" i="2"/>
  <c r="C17" i="2" s="1"/>
  <c r="E17" i="2" s="1"/>
  <c r="D15" i="2"/>
  <c r="C16" i="2" s="1"/>
  <c r="E16" i="2" s="1"/>
  <c r="D14" i="2"/>
  <c r="C15" i="2" s="1"/>
  <c r="E15" i="2" s="1"/>
  <c r="D13" i="2"/>
  <c r="C14" i="2" s="1"/>
  <c r="E14" i="2" s="1"/>
  <c r="D12" i="2"/>
  <c r="C13" i="2" s="1"/>
  <c r="E13" i="2" s="1"/>
  <c r="D11" i="2"/>
  <c r="C12" i="2" s="1"/>
  <c r="E12" i="2" s="1"/>
  <c r="D9" i="2"/>
  <c r="C11" i="2" s="1"/>
  <c r="E11" i="2" s="1"/>
  <c r="D8" i="2"/>
  <c r="C9" i="2" s="1"/>
  <c r="E9" i="2" s="1"/>
  <c r="D7" i="2"/>
  <c r="C8" i="2" s="1"/>
  <c r="E8" i="2" s="1"/>
  <c r="D6" i="2"/>
  <c r="C7" i="2" s="1"/>
  <c r="F7" i="2" s="1"/>
  <c r="G7" i="2" s="1"/>
  <c r="D5" i="2"/>
  <c r="C6" i="2" s="1"/>
  <c r="E6" i="2" s="1"/>
  <c r="D4" i="2"/>
  <c r="C5" i="2" s="1"/>
  <c r="E5" i="2" s="1"/>
  <c r="D3" i="2"/>
  <c r="C4" i="2" s="1"/>
  <c r="E4" i="2" s="1"/>
  <c r="J13" i="2" l="1"/>
  <c r="V19" i="2" s="1"/>
  <c r="J11" i="2"/>
  <c r="J12" i="2" s="1"/>
  <c r="E3" i="2"/>
  <c r="F24" i="2"/>
  <c r="G24" i="2" s="1"/>
  <c r="E7" i="2"/>
  <c r="J17" i="2"/>
  <c r="K17" i="2" s="1"/>
  <c r="V13" i="2" s="1"/>
  <c r="F16" i="2"/>
  <c r="G16" i="2" s="1"/>
  <c r="N13" i="2" s="1"/>
  <c r="P13" i="2" s="1"/>
  <c r="F12" i="2"/>
  <c r="G12" i="2" s="1"/>
  <c r="F27" i="2"/>
  <c r="G27" i="2" s="1"/>
  <c r="F23" i="2"/>
  <c r="G23" i="2" s="1"/>
  <c r="F19" i="2"/>
  <c r="G19" i="2" s="1"/>
  <c r="F15" i="2"/>
  <c r="G15" i="2" s="1"/>
  <c r="F11" i="2"/>
  <c r="G11" i="2" s="1"/>
  <c r="F6" i="2"/>
  <c r="G6" i="2" s="1"/>
  <c r="J7" i="2" s="1"/>
  <c r="J8" i="2" s="1"/>
  <c r="J9" i="2" s="1"/>
  <c r="J10" i="2" s="1"/>
  <c r="J6" i="2" s="1"/>
  <c r="V18" i="2" s="1"/>
  <c r="J19" i="2"/>
  <c r="K19" i="2" s="1"/>
  <c r="V14" i="2" s="1"/>
  <c r="F20" i="2"/>
  <c r="G20" i="2" s="1"/>
  <c r="F26" i="2"/>
  <c r="G26" i="2" s="1"/>
  <c r="F22" i="2"/>
  <c r="G22" i="2" s="1"/>
  <c r="F18" i="2"/>
  <c r="G18" i="2" s="1"/>
  <c r="F14" i="2"/>
  <c r="G14" i="2" s="1"/>
  <c r="F9" i="2"/>
  <c r="G9" i="2" s="1"/>
  <c r="F5" i="2"/>
  <c r="G5" i="2" s="1"/>
  <c r="J21" i="2"/>
  <c r="K21" i="2" s="1"/>
  <c r="V15" i="2" s="1"/>
  <c r="J25" i="2"/>
  <c r="K25" i="2" s="1"/>
  <c r="V16" i="2" s="1"/>
  <c r="F25" i="2"/>
  <c r="G25" i="2" s="1"/>
  <c r="F21" i="2"/>
  <c r="G21" i="2" s="1"/>
  <c r="F17" i="2"/>
  <c r="G17" i="2" s="1"/>
  <c r="F13" i="2"/>
  <c r="G13" i="2" s="1"/>
  <c r="F8" i="2"/>
  <c r="G8" i="2" s="1"/>
  <c r="F4" i="2"/>
  <c r="G4" i="2" s="1"/>
  <c r="F3" i="1"/>
  <c r="G3" i="1" s="1"/>
  <c r="T2" i="1"/>
  <c r="L7" i="1"/>
  <c r="K7" i="1"/>
  <c r="K21" i="1"/>
  <c r="L21" i="1" s="1"/>
  <c r="M21" i="1" s="1"/>
  <c r="V20" i="2" l="1"/>
  <c r="W18" i="2"/>
  <c r="M14" i="2"/>
  <c r="N14" i="2" s="1"/>
  <c r="P14" i="2" s="1"/>
  <c r="M15" i="2"/>
  <c r="N15" i="2" s="1"/>
  <c r="P15" i="2" s="1"/>
  <c r="M16" i="2"/>
  <c r="N16" i="2" s="1"/>
  <c r="P16" i="2" s="1"/>
  <c r="M17" i="2"/>
  <c r="N17" i="2" s="1"/>
  <c r="P17" i="2" s="1"/>
  <c r="M18" i="2"/>
  <c r="N18" i="2" s="1"/>
  <c r="P18" i="2" s="1"/>
  <c r="M19" i="2"/>
  <c r="N19" i="2" s="1"/>
  <c r="P19" i="2" s="1"/>
  <c r="M20" i="2"/>
  <c r="N20" i="2" s="1"/>
  <c r="P20" i="2" s="1"/>
  <c r="M28" i="2"/>
  <c r="N28" i="2" s="1"/>
  <c r="P28" i="2" s="1"/>
  <c r="N21" i="2"/>
  <c r="P21" i="2" s="1"/>
  <c r="M27" i="2"/>
  <c r="N27" i="2" s="1"/>
  <c r="P27" i="2" s="1"/>
  <c r="M26" i="2"/>
  <c r="N26" i="2" s="1"/>
  <c r="P26" i="2" s="1"/>
  <c r="M22" i="2"/>
  <c r="N22" i="2" s="1"/>
  <c r="P22" i="2" s="1"/>
  <c r="M25" i="2"/>
  <c r="N25" i="2" s="1"/>
  <c r="P25" i="2" s="1"/>
  <c r="M24" i="2"/>
  <c r="N24" i="2" s="1"/>
  <c r="P24" i="2" s="1"/>
  <c r="M23" i="2"/>
  <c r="N23" i="2" s="1"/>
  <c r="P23" i="2" s="1"/>
  <c r="N21" i="1"/>
  <c r="O21" i="1"/>
  <c r="AH1" i="1"/>
  <c r="AI1" i="1" s="1"/>
  <c r="P15" i="1" s="1"/>
  <c r="C12" i="1" s="1"/>
  <c r="F12" i="1" s="1"/>
  <c r="AK6" i="1"/>
  <c r="F4" i="1"/>
  <c r="F7" i="1"/>
  <c r="F15" i="1"/>
  <c r="F16" i="1"/>
  <c r="F17" i="1"/>
  <c r="F18" i="1"/>
  <c r="F19" i="1"/>
  <c r="F20" i="1"/>
  <c r="F21" i="1"/>
  <c r="F22" i="1"/>
  <c r="F23" i="1"/>
  <c r="F24" i="1"/>
  <c r="F2" i="1"/>
  <c r="C11" i="1"/>
  <c r="F11" i="1" s="1"/>
  <c r="C10" i="1"/>
  <c r="F10" i="1" s="1"/>
  <c r="C9" i="1"/>
  <c r="F9" i="1" s="1"/>
  <c r="R17" i="1"/>
  <c r="P14" i="1" s="1"/>
  <c r="B12" i="1" s="1"/>
  <c r="D12" i="1" s="1"/>
  <c r="B2" i="4"/>
  <c r="C2" i="4" s="1"/>
  <c r="D2" i="4" s="1"/>
  <c r="D3" i="4"/>
  <c r="D4" i="4"/>
  <c r="D5" i="4"/>
  <c r="D6" i="4"/>
  <c r="D7" i="4"/>
  <c r="C3" i="4"/>
  <c r="C4" i="4"/>
  <c r="C5" i="4"/>
  <c r="C6" i="4"/>
  <c r="C7" i="4"/>
  <c r="B3" i="4"/>
  <c r="B4" i="4"/>
  <c r="B5" i="4"/>
  <c r="B6" i="4"/>
  <c r="B7" i="4"/>
  <c r="R19" i="1"/>
  <c r="D3" i="1"/>
  <c r="D4" i="1"/>
  <c r="D7" i="1"/>
  <c r="D15" i="1"/>
  <c r="D16" i="1"/>
  <c r="D17" i="1"/>
  <c r="D18" i="1"/>
  <c r="D19" i="1"/>
  <c r="D20" i="1"/>
  <c r="D21" i="1"/>
  <c r="D22" i="1"/>
  <c r="D23" i="1"/>
  <c r="D24" i="1"/>
  <c r="D2"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21" i="1"/>
  <c r="I7" i="1"/>
  <c r="G4" i="1" l="1"/>
  <c r="M14" i="1"/>
  <c r="B9" i="1" s="1"/>
  <c r="S17" i="1"/>
  <c r="T3" i="1" a="1"/>
  <c r="T3" i="1" s="1"/>
  <c r="T9" i="1" a="1"/>
  <c r="T9" i="1" s="1"/>
  <c r="S9" i="1" s="1"/>
  <c r="W9" i="1" s="1"/>
  <c r="X9" i="1" s="1"/>
  <c r="Y9" i="1" s="1"/>
  <c r="T16" i="1" a="1"/>
  <c r="T16" i="1" s="1"/>
  <c r="S16" i="1" s="1"/>
  <c r="W16" i="1" s="1"/>
  <c r="X16" i="1" s="1"/>
  <c r="Y16" i="1" s="1"/>
  <c r="T8" i="1" a="1"/>
  <c r="T8" i="1" s="1"/>
  <c r="S8" i="1" s="1"/>
  <c r="W8" i="1" s="1"/>
  <c r="X8" i="1" s="1"/>
  <c r="Y8" i="1" s="1"/>
  <c r="T10" i="1" a="1"/>
  <c r="T10" i="1" s="1"/>
  <c r="S10" i="1" s="1"/>
  <c r="W10" i="1" s="1"/>
  <c r="X10" i="1" s="1"/>
  <c r="Y10" i="1" s="1"/>
  <c r="T15" i="1" a="1"/>
  <c r="T15" i="1" s="1"/>
  <c r="S15" i="1" s="1"/>
  <c r="W15" i="1" s="1"/>
  <c r="X15" i="1" s="1"/>
  <c r="Y15" i="1" s="1"/>
  <c r="T7" i="1" a="1"/>
  <c r="T7" i="1" s="1"/>
  <c r="S7" i="1" s="1"/>
  <c r="W7" i="1" s="1"/>
  <c r="X7" i="1" s="1"/>
  <c r="Y7" i="1" s="1"/>
  <c r="T13" i="1" a="1"/>
  <c r="T13" i="1" s="1"/>
  <c r="S13" i="1" s="1"/>
  <c r="W13" i="1" s="1"/>
  <c r="X13" i="1" s="1"/>
  <c r="Y13" i="1" s="1"/>
  <c r="T5" i="1" a="1"/>
  <c r="T5" i="1" s="1"/>
  <c r="S5" i="1" s="1"/>
  <c r="W5" i="1" s="1"/>
  <c r="X5" i="1" s="1"/>
  <c r="Y5" i="1" s="1"/>
  <c r="T6" i="1" a="1"/>
  <c r="T6" i="1" s="1"/>
  <c r="S6" i="1" s="1"/>
  <c r="W6" i="1" s="1"/>
  <c r="X6" i="1" s="1"/>
  <c r="Y6" i="1" s="1"/>
  <c r="T12" i="1" a="1"/>
  <c r="T12" i="1" s="1"/>
  <c r="S12" i="1" s="1"/>
  <c r="W12" i="1" s="1"/>
  <c r="X12" i="1" s="1"/>
  <c r="Y12" i="1" s="1"/>
  <c r="T4" i="1" a="1"/>
  <c r="T4" i="1" s="1"/>
  <c r="S4" i="1" s="1"/>
  <c r="W4" i="1" s="1"/>
  <c r="X4" i="1" s="1"/>
  <c r="Y4" i="1" s="1"/>
  <c r="T14" i="1" a="1"/>
  <c r="T14" i="1" s="1"/>
  <c r="S14" i="1" s="1"/>
  <c r="W14" i="1" s="1"/>
  <c r="X14" i="1" s="1"/>
  <c r="Y14" i="1" s="1"/>
  <c r="T11" i="1" a="1"/>
  <c r="T11" i="1" s="1"/>
  <c r="S11" i="1" s="1"/>
  <c r="W11" i="1" s="1"/>
  <c r="X11" i="1" s="1"/>
  <c r="Y11" i="1" s="1"/>
  <c r="E3" i="1"/>
  <c r="E4" i="1" s="1"/>
  <c r="S2" i="1" l="1"/>
  <c r="W2" i="1" s="1"/>
  <c r="X2" i="1" s="1"/>
  <c r="Y2" i="1" s="1"/>
  <c r="Z2" i="1" s="1"/>
  <c r="AB2" i="1" s="1"/>
  <c r="AD2" i="1" s="1"/>
  <c r="W17" i="1"/>
  <c r="X17" i="1" s="1"/>
  <c r="Y17" i="1" s="1"/>
  <c r="T17" i="1"/>
  <c r="O14" i="1" s="1"/>
  <c r="B11" i="1" s="1"/>
  <c r="D11" i="1" s="1"/>
  <c r="N14" i="1"/>
  <c r="B10" i="1" s="1"/>
  <c r="D10" i="1" s="1"/>
  <c r="S3" i="1"/>
  <c r="W3" i="1" s="1"/>
  <c r="X3" i="1" s="1"/>
  <c r="Y3" i="1" s="1"/>
  <c r="Z3" i="1" s="1"/>
  <c r="AB3" i="1" s="1"/>
  <c r="AD3" i="1" s="1"/>
  <c r="AA14" i="1"/>
  <c r="Z14" i="1"/>
  <c r="AB14" i="1" s="1"/>
  <c r="AD14" i="1" s="1"/>
  <c r="Z4" i="1"/>
  <c r="AB4" i="1" s="1"/>
  <c r="AD4" i="1" s="1"/>
  <c r="AA4" i="1"/>
  <c r="Z10" i="1"/>
  <c r="AB10" i="1" s="1"/>
  <c r="AD10" i="1" s="1"/>
  <c r="AA10" i="1"/>
  <c r="AA6" i="1"/>
  <c r="Z6" i="1"/>
  <c r="AB6" i="1" s="1"/>
  <c r="AD6" i="1" s="1"/>
  <c r="Z16" i="1"/>
  <c r="AB16" i="1" s="1"/>
  <c r="AD16" i="1" s="1"/>
  <c r="AA16" i="1"/>
  <c r="Z8" i="1"/>
  <c r="AB8" i="1" s="1"/>
  <c r="AD8" i="1" s="1"/>
  <c r="AA8" i="1"/>
  <c r="Z9" i="1"/>
  <c r="AB9" i="1" s="1"/>
  <c r="AD9" i="1" s="1"/>
  <c r="AA9" i="1"/>
  <c r="Z12" i="1"/>
  <c r="AB12" i="1" s="1"/>
  <c r="AD12" i="1" s="1"/>
  <c r="AA12" i="1"/>
  <c r="Z13" i="1"/>
  <c r="AB13" i="1" s="1"/>
  <c r="AD13" i="1" s="1"/>
  <c r="AA13" i="1"/>
  <c r="Z5" i="1"/>
  <c r="AB5" i="1" s="1"/>
  <c r="AD5" i="1" s="1"/>
  <c r="AA5" i="1"/>
  <c r="AA7" i="1"/>
  <c r="Z7" i="1"/>
  <c r="AB7" i="1" s="1"/>
  <c r="AD7" i="1" s="1"/>
  <c r="Z11" i="1"/>
  <c r="AB11" i="1" s="1"/>
  <c r="AD11" i="1" s="1"/>
  <c r="AA11" i="1"/>
  <c r="AA15" i="1"/>
  <c r="Z15" i="1"/>
  <c r="AB15" i="1" s="1"/>
  <c r="AD15" i="1" s="1"/>
  <c r="AA2" i="1" l="1"/>
  <c r="Z17" i="1"/>
  <c r="AB17" i="1" s="1"/>
  <c r="AD17" i="1" s="1"/>
  <c r="AA17" i="1"/>
  <c r="AF10" i="1"/>
  <c r="AF13" i="1"/>
  <c r="AA3" i="1"/>
  <c r="AC9" i="1"/>
  <c r="AE9" i="1" s="1"/>
  <c r="AF9" i="1" s="1"/>
  <c r="AC10" i="1"/>
  <c r="AE10" i="1" s="1"/>
  <c r="AC6" i="1"/>
  <c r="AE6" i="1" s="1"/>
  <c r="AF6" i="1" s="1"/>
  <c r="AC7" i="1"/>
  <c r="AE7" i="1" s="1"/>
  <c r="AF7" i="1" s="1"/>
  <c r="AC5" i="1"/>
  <c r="AE5" i="1" s="1"/>
  <c r="AF5" i="1" s="1"/>
  <c r="AC8" i="1"/>
  <c r="AE8" i="1" s="1"/>
  <c r="AF8" i="1" s="1"/>
  <c r="AC4" i="1"/>
  <c r="AE4" i="1" s="1"/>
  <c r="AF4" i="1" s="1"/>
  <c r="AC13" i="1"/>
  <c r="AE13" i="1" s="1"/>
  <c r="AC16" i="1"/>
  <c r="AE16" i="1" s="1"/>
  <c r="AF16" i="1" s="1"/>
  <c r="AC15" i="1"/>
  <c r="AE15" i="1" s="1"/>
  <c r="AF15" i="1" s="1"/>
  <c r="AC14" i="1"/>
  <c r="AE14" i="1" s="1"/>
  <c r="AF14" i="1" s="1"/>
  <c r="AC11" i="1"/>
  <c r="AE11" i="1" s="1"/>
  <c r="AF11" i="1" s="1"/>
  <c r="AC12" i="1"/>
  <c r="AE12" i="1" s="1"/>
  <c r="AF12" i="1" s="1"/>
  <c r="AC2" i="1" l="1"/>
  <c r="AE2" i="1" s="1"/>
  <c r="AF2" i="1"/>
  <c r="AC17" i="1"/>
  <c r="AE17" i="1" s="1"/>
  <c r="AF17" i="1" s="1"/>
  <c r="AC3" i="1"/>
  <c r="AE3" i="1" s="1"/>
  <c r="AF3" i="1" s="1"/>
  <c r="J22" i="1"/>
  <c r="K22" i="1" s="1"/>
  <c r="L22" i="1" s="1"/>
  <c r="M22" i="1" s="1"/>
  <c r="J23" i="1"/>
  <c r="K23" i="1" s="1"/>
  <c r="L23" i="1" s="1"/>
  <c r="M23" i="1" s="1"/>
  <c r="J24" i="1"/>
  <c r="K24" i="1" s="1"/>
  <c r="L24" i="1" s="1"/>
  <c r="M24" i="1" s="1"/>
  <c r="J25" i="1"/>
  <c r="K25" i="1" s="1"/>
  <c r="L25" i="1" s="1"/>
  <c r="M25" i="1" s="1"/>
  <c r="J26" i="1"/>
  <c r="K26" i="1" s="1"/>
  <c r="L26" i="1" s="1"/>
  <c r="M26" i="1" s="1"/>
  <c r="J27" i="1"/>
  <c r="K27" i="1" s="1"/>
  <c r="L27" i="1" s="1"/>
  <c r="M27" i="1" s="1"/>
  <c r="J28" i="1"/>
  <c r="K28" i="1" s="1"/>
  <c r="L28" i="1" s="1"/>
  <c r="M28" i="1" s="1"/>
  <c r="J29" i="1"/>
  <c r="K29" i="1" s="1"/>
  <c r="L29" i="1" s="1"/>
  <c r="M29" i="1" s="1"/>
  <c r="J30" i="1"/>
  <c r="K30" i="1" s="1"/>
  <c r="L30" i="1" s="1"/>
  <c r="M30" i="1" s="1"/>
  <c r="J31" i="1"/>
  <c r="K31" i="1" s="1"/>
  <c r="L31" i="1" s="1"/>
  <c r="M31" i="1" s="1"/>
  <c r="J32" i="1"/>
  <c r="K32" i="1" s="1"/>
  <c r="L32" i="1" s="1"/>
  <c r="M32" i="1" s="1"/>
  <c r="J33" i="1"/>
  <c r="K33" i="1" s="1"/>
  <c r="L33" i="1" s="1"/>
  <c r="M33" i="1" s="1"/>
  <c r="J34" i="1"/>
  <c r="K34" i="1" s="1"/>
  <c r="L34" i="1" s="1"/>
  <c r="M34" i="1" s="1"/>
  <c r="J35" i="1"/>
  <c r="K35" i="1" s="1"/>
  <c r="L35" i="1" s="1"/>
  <c r="M35" i="1" s="1"/>
  <c r="J36" i="1"/>
  <c r="K36" i="1" s="1"/>
  <c r="L36" i="1" s="1"/>
  <c r="M36" i="1" s="1"/>
  <c r="J37" i="1"/>
  <c r="K37" i="1" s="1"/>
  <c r="L37" i="1" s="1"/>
  <c r="M37" i="1" s="1"/>
  <c r="J38" i="1"/>
  <c r="K38" i="1" s="1"/>
  <c r="L38" i="1" s="1"/>
  <c r="M38" i="1" s="1"/>
  <c r="J39" i="1"/>
  <c r="K39" i="1" s="1"/>
  <c r="L39" i="1" s="1"/>
  <c r="M39" i="1" s="1"/>
  <c r="J40" i="1"/>
  <c r="K40" i="1" s="1"/>
  <c r="L40" i="1" s="1"/>
  <c r="M40" i="1" s="1"/>
  <c r="J41" i="1"/>
  <c r="K41" i="1" s="1"/>
  <c r="L41" i="1" s="1"/>
  <c r="M41" i="1" s="1"/>
  <c r="J42" i="1"/>
  <c r="K42" i="1" s="1"/>
  <c r="L42" i="1" s="1"/>
  <c r="M42" i="1" s="1"/>
  <c r="J43" i="1"/>
  <c r="K43" i="1" s="1"/>
  <c r="L43" i="1" s="1"/>
  <c r="M43" i="1" s="1"/>
  <c r="J44" i="1"/>
  <c r="K44" i="1" s="1"/>
  <c r="L44" i="1" s="1"/>
  <c r="M44" i="1" s="1"/>
  <c r="J45" i="1"/>
  <c r="K45" i="1" s="1"/>
  <c r="L45" i="1" s="1"/>
  <c r="M45" i="1" s="1"/>
  <c r="J46" i="1"/>
  <c r="K46" i="1" s="1"/>
  <c r="L46" i="1" s="1"/>
  <c r="M46" i="1" s="1"/>
  <c r="J47" i="1"/>
  <c r="K47" i="1" s="1"/>
  <c r="L47" i="1" s="1"/>
  <c r="M47" i="1" s="1"/>
  <c r="J48" i="1"/>
  <c r="K48" i="1" s="1"/>
  <c r="L48" i="1" s="1"/>
  <c r="M48" i="1" s="1"/>
  <c r="J49" i="1"/>
  <c r="K49" i="1" s="1"/>
  <c r="L49" i="1" s="1"/>
  <c r="M49" i="1" s="1"/>
  <c r="J50" i="1"/>
  <c r="K50" i="1" s="1"/>
  <c r="L50" i="1" s="1"/>
  <c r="M50" i="1" s="1"/>
  <c r="J51" i="1"/>
  <c r="K51" i="1" s="1"/>
  <c r="L51" i="1" s="1"/>
  <c r="M51" i="1" s="1"/>
  <c r="J52" i="1"/>
  <c r="K52" i="1" s="1"/>
  <c r="L52" i="1" s="1"/>
  <c r="M52" i="1" s="1"/>
  <c r="J53" i="1"/>
  <c r="K53" i="1" s="1"/>
  <c r="L53" i="1" s="1"/>
  <c r="M53" i="1" s="1"/>
  <c r="J54" i="1"/>
  <c r="K54" i="1" s="1"/>
  <c r="L54" i="1" s="1"/>
  <c r="M54" i="1" s="1"/>
  <c r="J55" i="1"/>
  <c r="K55" i="1" s="1"/>
  <c r="L55" i="1" s="1"/>
  <c r="M55" i="1" s="1"/>
  <c r="J56" i="1"/>
  <c r="K56" i="1" s="1"/>
  <c r="L56" i="1" s="1"/>
  <c r="M56" i="1" s="1"/>
  <c r="J57" i="1"/>
  <c r="K57" i="1" s="1"/>
  <c r="L57" i="1" s="1"/>
  <c r="M57" i="1" s="1"/>
  <c r="J58" i="1"/>
  <c r="K58" i="1" s="1"/>
  <c r="L58" i="1" s="1"/>
  <c r="M58" i="1" s="1"/>
  <c r="J59" i="1"/>
  <c r="K59" i="1" s="1"/>
  <c r="L59" i="1" s="1"/>
  <c r="M59" i="1" s="1"/>
  <c r="J60" i="1"/>
  <c r="K60" i="1" s="1"/>
  <c r="L60" i="1" s="1"/>
  <c r="M60" i="1" s="1"/>
  <c r="J61" i="1"/>
  <c r="K61" i="1" s="1"/>
  <c r="L61" i="1" s="1"/>
  <c r="M61" i="1" s="1"/>
  <c r="J62" i="1"/>
  <c r="K62" i="1" s="1"/>
  <c r="L62" i="1" s="1"/>
  <c r="M62" i="1" s="1"/>
  <c r="J63" i="1"/>
  <c r="K63" i="1" s="1"/>
  <c r="L63" i="1" s="1"/>
  <c r="M63" i="1" s="1"/>
  <c r="J64" i="1"/>
  <c r="K64" i="1" s="1"/>
  <c r="L64" i="1" s="1"/>
  <c r="M64" i="1" s="1"/>
  <c r="J65" i="1"/>
  <c r="K65" i="1" s="1"/>
  <c r="L65" i="1" s="1"/>
  <c r="M65" i="1" s="1"/>
  <c r="J66" i="1"/>
  <c r="K66" i="1" s="1"/>
  <c r="L66" i="1" s="1"/>
  <c r="M66" i="1" s="1"/>
  <c r="J67" i="1"/>
  <c r="K67" i="1" s="1"/>
  <c r="L67" i="1" s="1"/>
  <c r="M67" i="1" s="1"/>
  <c r="J68" i="1"/>
  <c r="K68" i="1" s="1"/>
  <c r="L68" i="1" s="1"/>
  <c r="M68" i="1" s="1"/>
  <c r="J69" i="1"/>
  <c r="K69" i="1" s="1"/>
  <c r="L69" i="1" s="1"/>
  <c r="M69" i="1" s="1"/>
  <c r="J70" i="1"/>
  <c r="K70" i="1" s="1"/>
  <c r="L70" i="1" s="1"/>
  <c r="M70" i="1" s="1"/>
  <c r="J71" i="1"/>
  <c r="K71" i="1" s="1"/>
  <c r="L71" i="1" s="1"/>
  <c r="M71" i="1" s="1"/>
  <c r="J72" i="1"/>
  <c r="K72" i="1" s="1"/>
  <c r="L72" i="1" s="1"/>
  <c r="M72" i="1" s="1"/>
  <c r="J73" i="1"/>
  <c r="K73" i="1" s="1"/>
  <c r="L73" i="1" s="1"/>
  <c r="M73" i="1" s="1"/>
  <c r="J74" i="1"/>
  <c r="K74" i="1" s="1"/>
  <c r="L74" i="1" s="1"/>
  <c r="M74" i="1" s="1"/>
  <c r="J75" i="1"/>
  <c r="K75" i="1" s="1"/>
  <c r="L75" i="1" s="1"/>
  <c r="M75" i="1" s="1"/>
  <c r="J76" i="1"/>
  <c r="K76" i="1" s="1"/>
  <c r="L76" i="1" s="1"/>
  <c r="M76" i="1" s="1"/>
  <c r="J77" i="1"/>
  <c r="K77" i="1" s="1"/>
  <c r="L77" i="1" s="1"/>
  <c r="M77" i="1" s="1"/>
  <c r="J78" i="1"/>
  <c r="K78" i="1" s="1"/>
  <c r="L78" i="1" s="1"/>
  <c r="M78" i="1" s="1"/>
  <c r="J79" i="1"/>
  <c r="K79" i="1" s="1"/>
  <c r="L79" i="1" s="1"/>
  <c r="M79" i="1" s="1"/>
  <c r="J80" i="1"/>
  <c r="K80" i="1" s="1"/>
  <c r="L80" i="1" s="1"/>
  <c r="M80" i="1" s="1"/>
  <c r="J81" i="1"/>
  <c r="K81" i="1" s="1"/>
  <c r="L81" i="1" s="1"/>
  <c r="M81" i="1" s="1"/>
  <c r="J82" i="1"/>
  <c r="K82" i="1" s="1"/>
  <c r="L82" i="1" s="1"/>
  <c r="M82" i="1" s="1"/>
  <c r="J83" i="1"/>
  <c r="K83" i="1" s="1"/>
  <c r="L83" i="1" s="1"/>
  <c r="M83" i="1" s="1"/>
  <c r="J84" i="1"/>
  <c r="K84" i="1" s="1"/>
  <c r="L84" i="1" s="1"/>
  <c r="M84" i="1" s="1"/>
  <c r="J85" i="1"/>
  <c r="K85" i="1" s="1"/>
  <c r="L85" i="1" s="1"/>
  <c r="M85" i="1" s="1"/>
  <c r="J86" i="1"/>
  <c r="K86" i="1" s="1"/>
  <c r="L86" i="1" s="1"/>
  <c r="M86" i="1" s="1"/>
  <c r="J87" i="1"/>
  <c r="K87" i="1" s="1"/>
  <c r="L87" i="1" s="1"/>
  <c r="M87" i="1" s="1"/>
  <c r="J88" i="1"/>
  <c r="K88" i="1" s="1"/>
  <c r="L88" i="1" s="1"/>
  <c r="M88" i="1" s="1"/>
  <c r="J89" i="1"/>
  <c r="K89" i="1" s="1"/>
  <c r="L89" i="1" s="1"/>
  <c r="M89" i="1" s="1"/>
  <c r="J90" i="1"/>
  <c r="K90" i="1" s="1"/>
  <c r="L90" i="1" s="1"/>
  <c r="M90" i="1" s="1"/>
  <c r="J91" i="1"/>
  <c r="K91" i="1" s="1"/>
  <c r="L91" i="1" s="1"/>
  <c r="M91" i="1" s="1"/>
  <c r="J92" i="1"/>
  <c r="K92" i="1" s="1"/>
  <c r="L92" i="1" s="1"/>
  <c r="M92" i="1" s="1"/>
  <c r="J93" i="1"/>
  <c r="K93" i="1" s="1"/>
  <c r="L93" i="1" s="1"/>
  <c r="M93" i="1" s="1"/>
  <c r="J94" i="1"/>
  <c r="K94" i="1" s="1"/>
  <c r="L94" i="1" s="1"/>
  <c r="M94" i="1" s="1"/>
  <c r="J95" i="1"/>
  <c r="K95" i="1" s="1"/>
  <c r="L95" i="1" s="1"/>
  <c r="M95" i="1" s="1"/>
  <c r="J96" i="1"/>
  <c r="K96" i="1" s="1"/>
  <c r="L96" i="1" s="1"/>
  <c r="M96" i="1" s="1"/>
  <c r="J97" i="1"/>
  <c r="K97" i="1" s="1"/>
  <c r="L97" i="1" s="1"/>
  <c r="M97" i="1" s="1"/>
  <c r="J98" i="1"/>
  <c r="K98" i="1" s="1"/>
  <c r="L98" i="1" s="1"/>
  <c r="M98" i="1" s="1"/>
  <c r="J99" i="1"/>
  <c r="K99" i="1" s="1"/>
  <c r="L99" i="1" s="1"/>
  <c r="M99" i="1" s="1"/>
  <c r="J100" i="1"/>
  <c r="K100" i="1" s="1"/>
  <c r="L100" i="1" s="1"/>
  <c r="M100" i="1" s="1"/>
  <c r="J101" i="1"/>
  <c r="K101" i="1" s="1"/>
  <c r="L101" i="1" s="1"/>
  <c r="M101" i="1" s="1"/>
  <c r="J102" i="1"/>
  <c r="K102" i="1" s="1"/>
  <c r="L102" i="1" s="1"/>
  <c r="M102" i="1" s="1"/>
  <c r="J103" i="1"/>
  <c r="K103" i="1" s="1"/>
  <c r="L103" i="1" s="1"/>
  <c r="M103" i="1" s="1"/>
  <c r="J104" i="1"/>
  <c r="K104" i="1" s="1"/>
  <c r="L104" i="1" s="1"/>
  <c r="M104" i="1" s="1"/>
  <c r="J105" i="1"/>
  <c r="K105" i="1" s="1"/>
  <c r="L105" i="1" s="1"/>
  <c r="M105" i="1" s="1"/>
  <c r="J106" i="1"/>
  <c r="K106" i="1" s="1"/>
  <c r="L106" i="1" s="1"/>
  <c r="M106" i="1" s="1"/>
  <c r="J107" i="1"/>
  <c r="K107" i="1" s="1"/>
  <c r="L107" i="1" s="1"/>
  <c r="M107" i="1" s="1"/>
  <c r="J108" i="1"/>
  <c r="K108" i="1" s="1"/>
  <c r="L108" i="1" s="1"/>
  <c r="M108" i="1" s="1"/>
  <c r="J109" i="1"/>
  <c r="K109" i="1" s="1"/>
  <c r="L109" i="1" s="1"/>
  <c r="M109" i="1" s="1"/>
  <c r="J110" i="1"/>
  <c r="K110" i="1" s="1"/>
  <c r="L110" i="1" s="1"/>
  <c r="M110" i="1" s="1"/>
  <c r="J111" i="1"/>
  <c r="K111" i="1" s="1"/>
  <c r="L111" i="1" s="1"/>
  <c r="M111" i="1" s="1"/>
  <c r="J112" i="1"/>
  <c r="K112" i="1" s="1"/>
  <c r="L112" i="1" s="1"/>
  <c r="M112" i="1" s="1"/>
  <c r="J113" i="1"/>
  <c r="K113" i="1" s="1"/>
  <c r="L113" i="1" s="1"/>
  <c r="M113" i="1" s="1"/>
  <c r="J114" i="1"/>
  <c r="K114" i="1" s="1"/>
  <c r="L114" i="1" s="1"/>
  <c r="M114" i="1" s="1"/>
  <c r="J115" i="1"/>
  <c r="K115" i="1" s="1"/>
  <c r="L115" i="1" s="1"/>
  <c r="M115" i="1" s="1"/>
  <c r="J116" i="1"/>
  <c r="K116" i="1" s="1"/>
  <c r="L116" i="1" s="1"/>
  <c r="M116" i="1" s="1"/>
  <c r="J117" i="1"/>
  <c r="K117" i="1" s="1"/>
  <c r="L117" i="1" s="1"/>
  <c r="M117" i="1" s="1"/>
  <c r="J118" i="1"/>
  <c r="K118" i="1" s="1"/>
  <c r="L118" i="1" s="1"/>
  <c r="M118" i="1" s="1"/>
  <c r="J119" i="1"/>
  <c r="K119" i="1" s="1"/>
  <c r="L119" i="1" s="1"/>
  <c r="M119" i="1" s="1"/>
  <c r="J120" i="1"/>
  <c r="K120" i="1" s="1"/>
  <c r="L120" i="1" s="1"/>
  <c r="M120" i="1" s="1"/>
  <c r="J121" i="1"/>
  <c r="K121" i="1" s="1"/>
  <c r="L121" i="1" s="1"/>
  <c r="M121" i="1" s="1"/>
  <c r="J122" i="1"/>
  <c r="K122" i="1" s="1"/>
  <c r="L122" i="1" s="1"/>
  <c r="M122" i="1" s="1"/>
  <c r="J123" i="1"/>
  <c r="K123" i="1" s="1"/>
  <c r="L123" i="1" s="1"/>
  <c r="M123" i="1" s="1"/>
  <c r="J124" i="1"/>
  <c r="K124" i="1" s="1"/>
  <c r="L124" i="1" s="1"/>
  <c r="M124" i="1" s="1"/>
  <c r="J125" i="1"/>
  <c r="K125" i="1" s="1"/>
  <c r="L125" i="1" s="1"/>
  <c r="M125" i="1" s="1"/>
  <c r="J126" i="1"/>
  <c r="K126" i="1" s="1"/>
  <c r="L126" i="1" s="1"/>
  <c r="M126" i="1" s="1"/>
  <c r="J127" i="1"/>
  <c r="K127" i="1" s="1"/>
  <c r="L127" i="1" s="1"/>
  <c r="M127" i="1" s="1"/>
  <c r="J128" i="1"/>
  <c r="K128" i="1" s="1"/>
  <c r="L128" i="1" s="1"/>
  <c r="M128" i="1" s="1"/>
  <c r="C8" i="1" l="1"/>
  <c r="F8" i="1" s="1"/>
  <c r="B8" i="1"/>
  <c r="D8" i="1" s="1"/>
  <c r="N107" i="1"/>
  <c r="O107" i="1"/>
  <c r="N122" i="1"/>
  <c r="O122" i="1"/>
  <c r="O99" i="1"/>
  <c r="N99" i="1"/>
  <c r="O114" i="1"/>
  <c r="N114" i="1"/>
  <c r="N115" i="1"/>
  <c r="O115" i="1"/>
  <c r="N106" i="1"/>
  <c r="O106" i="1"/>
  <c r="O75" i="1"/>
  <c r="N75" i="1"/>
  <c r="N59" i="1"/>
  <c r="O59" i="1"/>
  <c r="N51" i="1"/>
  <c r="O51" i="1"/>
  <c r="N43" i="1"/>
  <c r="O43" i="1"/>
  <c r="N35" i="1"/>
  <c r="O35" i="1"/>
  <c r="N123" i="1"/>
  <c r="O123" i="1"/>
  <c r="O67" i="1"/>
  <c r="N67" i="1"/>
  <c r="N90" i="1"/>
  <c r="O90" i="1"/>
  <c r="N66" i="1"/>
  <c r="O66" i="1"/>
  <c r="N34" i="1"/>
  <c r="O34" i="1"/>
  <c r="N83" i="1"/>
  <c r="O83" i="1"/>
  <c r="O98" i="1"/>
  <c r="N98" i="1"/>
  <c r="N74" i="1"/>
  <c r="O74" i="1"/>
  <c r="N58" i="1"/>
  <c r="O58" i="1"/>
  <c r="N50" i="1"/>
  <c r="O50" i="1"/>
  <c r="N91" i="1"/>
  <c r="O91" i="1"/>
  <c r="N82" i="1"/>
  <c r="O82" i="1"/>
  <c r="N112" i="1"/>
  <c r="O112" i="1"/>
  <c r="N88" i="1"/>
  <c r="O88" i="1"/>
  <c r="N80" i="1"/>
  <c r="O80" i="1"/>
  <c r="N72" i="1"/>
  <c r="O72" i="1"/>
  <c r="N64" i="1"/>
  <c r="O64" i="1"/>
  <c r="N56" i="1"/>
  <c r="O56" i="1"/>
  <c r="N48" i="1"/>
  <c r="O48" i="1"/>
  <c r="N40" i="1"/>
  <c r="O40" i="1"/>
  <c r="N32" i="1"/>
  <c r="O32" i="1"/>
  <c r="N24" i="1"/>
  <c r="O24" i="1"/>
  <c r="N42" i="1"/>
  <c r="O42" i="1"/>
  <c r="N120" i="1"/>
  <c r="O120" i="1"/>
  <c r="N111" i="1"/>
  <c r="O111" i="1"/>
  <c r="N103" i="1"/>
  <c r="O103" i="1"/>
  <c r="N95" i="1"/>
  <c r="O95" i="1"/>
  <c r="N87" i="1"/>
  <c r="O87" i="1"/>
  <c r="N79" i="1"/>
  <c r="O79" i="1"/>
  <c r="O71" i="1"/>
  <c r="N71" i="1"/>
  <c r="N63" i="1"/>
  <c r="O63" i="1"/>
  <c r="N55" i="1"/>
  <c r="O55" i="1"/>
  <c r="N47" i="1"/>
  <c r="O47" i="1"/>
  <c r="N39" i="1"/>
  <c r="O39" i="1"/>
  <c r="N31" i="1"/>
  <c r="O31" i="1"/>
  <c r="N23" i="1"/>
  <c r="O23" i="1"/>
  <c r="N104" i="1"/>
  <c r="O104" i="1"/>
  <c r="N118" i="1"/>
  <c r="O118" i="1"/>
  <c r="N94" i="1"/>
  <c r="O94" i="1"/>
  <c r="N86" i="1"/>
  <c r="O86" i="1"/>
  <c r="N78" i="1"/>
  <c r="O78" i="1"/>
  <c r="N70" i="1"/>
  <c r="O70" i="1"/>
  <c r="N62" i="1"/>
  <c r="O62" i="1"/>
  <c r="N54" i="1"/>
  <c r="O54" i="1"/>
  <c r="N46" i="1"/>
  <c r="O46" i="1"/>
  <c r="N38" i="1"/>
  <c r="O38" i="1"/>
  <c r="N30" i="1"/>
  <c r="O30" i="1"/>
  <c r="N96" i="1"/>
  <c r="O96" i="1"/>
  <c r="N110" i="1"/>
  <c r="O110" i="1"/>
  <c r="O109" i="1"/>
  <c r="N109" i="1"/>
  <c r="N93" i="1"/>
  <c r="O93" i="1"/>
  <c r="N85" i="1"/>
  <c r="O85" i="1"/>
  <c r="N77" i="1"/>
  <c r="O77" i="1"/>
  <c r="N69" i="1"/>
  <c r="O69" i="1"/>
  <c r="N61" i="1"/>
  <c r="O61" i="1"/>
  <c r="N53" i="1"/>
  <c r="O53" i="1"/>
  <c r="N45" i="1"/>
  <c r="O45" i="1"/>
  <c r="N37" i="1"/>
  <c r="O37" i="1"/>
  <c r="N29" i="1"/>
  <c r="O29" i="1"/>
  <c r="N121" i="1"/>
  <c r="O121" i="1"/>
  <c r="N126" i="1"/>
  <c r="O126" i="1"/>
  <c r="O117" i="1"/>
  <c r="N117" i="1"/>
  <c r="N116" i="1"/>
  <c r="O116" i="1"/>
  <c r="N92" i="1"/>
  <c r="O92" i="1"/>
  <c r="N84" i="1"/>
  <c r="O84" i="1"/>
  <c r="N76" i="1"/>
  <c r="O76" i="1"/>
  <c r="N68" i="1"/>
  <c r="O68" i="1"/>
  <c r="N60" i="1"/>
  <c r="O60" i="1"/>
  <c r="N52" i="1"/>
  <c r="O52" i="1"/>
  <c r="N44" i="1"/>
  <c r="O44" i="1"/>
  <c r="N36" i="1"/>
  <c r="O36" i="1"/>
  <c r="N28" i="1"/>
  <c r="O28" i="1"/>
  <c r="N128" i="1"/>
  <c r="O128" i="1"/>
  <c r="N119" i="1"/>
  <c r="O119" i="1"/>
  <c r="N102" i="1"/>
  <c r="O102" i="1"/>
  <c r="N101" i="1"/>
  <c r="O101" i="1"/>
  <c r="N108" i="1"/>
  <c r="O108" i="1"/>
  <c r="O27" i="1"/>
  <c r="N27" i="1"/>
  <c r="N127" i="1"/>
  <c r="O127" i="1"/>
  <c r="O125" i="1"/>
  <c r="N125" i="1"/>
  <c r="N124" i="1"/>
  <c r="O124" i="1"/>
  <c r="N100" i="1"/>
  <c r="O100" i="1"/>
  <c r="N26" i="1"/>
  <c r="O26" i="1"/>
  <c r="N113" i="1"/>
  <c r="O113" i="1"/>
  <c r="N105" i="1"/>
  <c r="O105" i="1"/>
  <c r="N97" i="1"/>
  <c r="O97" i="1"/>
  <c r="N89" i="1"/>
  <c r="O89" i="1"/>
  <c r="N81" i="1"/>
  <c r="O81" i="1"/>
  <c r="O73" i="1"/>
  <c r="N73" i="1"/>
  <c r="N65" i="1"/>
  <c r="O65" i="1"/>
  <c r="N57" i="1"/>
  <c r="O57" i="1"/>
  <c r="N49" i="1"/>
  <c r="O49" i="1"/>
  <c r="N41" i="1"/>
  <c r="O41" i="1"/>
  <c r="N33" i="1"/>
  <c r="O33" i="1"/>
  <c r="O25" i="1"/>
  <c r="N25" i="1"/>
  <c r="N22" i="1"/>
  <c r="M7" i="1" s="1"/>
  <c r="M8" i="1" s="1"/>
  <c r="M9" i="1" s="1"/>
  <c r="M10" i="1" s="1"/>
  <c r="O22" i="1"/>
  <c r="N7" i="1" s="1"/>
  <c r="N8" i="1" s="1"/>
  <c r="N9" i="1" s="1"/>
  <c r="N10" i="1" s="1"/>
  <c r="D9" i="1" l="1"/>
  <c r="C5" i="1"/>
  <c r="F5" i="1" s="1"/>
  <c r="G5" i="1" s="1"/>
  <c r="B5" i="1"/>
  <c r="D5" i="1" s="1"/>
  <c r="E5" i="1" s="1"/>
  <c r="C6" i="1"/>
  <c r="F6" i="1" s="1"/>
  <c r="B6" i="1"/>
  <c r="D6" i="1" s="1"/>
  <c r="G6" i="1" l="1"/>
  <c r="G7" i="1" s="1"/>
  <c r="G8" i="1" s="1"/>
  <c r="G9" i="1" s="1"/>
  <c r="G10" i="1" s="1"/>
  <c r="G11" i="1" s="1"/>
  <c r="G12" i="1" s="1"/>
  <c r="E6" i="1"/>
  <c r="E7" i="1" s="1"/>
  <c r="E8" i="1" s="1"/>
  <c r="E9" i="1" s="1"/>
  <c r="E10" i="1" s="1"/>
  <c r="E11" i="1" s="1"/>
  <c r="E12" i="1" s="1"/>
  <c r="AK7" i="1" l="1"/>
  <c r="AK8" i="1" s="1"/>
  <c r="AL7" i="1"/>
  <c r="AL8" i="1" s="1"/>
  <c r="B14" i="1" l="1"/>
  <c r="D14" i="1" s="1"/>
  <c r="C14" i="1"/>
  <c r="F14" i="1" s="1"/>
  <c r="C13" i="1"/>
  <c r="B13" i="1"/>
  <c r="D13" i="1" l="1"/>
  <c r="E13" i="1" s="1"/>
  <c r="E14" i="1" s="1"/>
  <c r="E15" i="1" s="1"/>
  <c r="E16" i="1" s="1"/>
  <c r="E17" i="1" s="1"/>
  <c r="E18" i="1" s="1"/>
  <c r="E19" i="1" s="1"/>
  <c r="E20" i="1" s="1"/>
  <c r="E21" i="1" s="1"/>
  <c r="E22" i="1" s="1"/>
  <c r="E23" i="1" s="1"/>
  <c r="E24" i="1" s="1"/>
  <c r="E25" i="1" s="1"/>
  <c r="E26" i="1" s="1"/>
  <c r="E27" i="1" s="1"/>
  <c r="E28" i="1" s="1"/>
  <c r="B25" i="1" s="1"/>
  <c r="J2" i="1" s="1"/>
  <c r="F13" i="1"/>
  <c r="G13" i="1" s="1"/>
  <c r="G14" i="1" s="1"/>
  <c r="G15" i="1" s="1"/>
  <c r="G16" i="1" s="1"/>
  <c r="G17" i="1" s="1"/>
  <c r="G18" i="1" s="1"/>
  <c r="G19" i="1" s="1"/>
  <c r="G20" i="1" s="1"/>
  <c r="G21" i="1" s="1"/>
  <c r="G22" i="1" s="1"/>
  <c r="G23" i="1" s="1"/>
  <c r="G24" i="1" s="1"/>
  <c r="G25" i="1" s="1"/>
  <c r="G26" i="1" s="1"/>
  <c r="G27" i="1" s="1"/>
  <c r="G28" i="1" s="1"/>
  <c r="C25" i="1" s="1"/>
  <c r="J3" i="1" s="1"/>
</calcChain>
</file>

<file path=xl/sharedStrings.xml><?xml version="1.0" encoding="utf-8"?>
<sst xmlns="http://schemas.openxmlformats.org/spreadsheetml/2006/main" count="626" uniqueCount="476">
  <si>
    <t>Byte 0</t>
  </si>
  <si>
    <t>Byte 1</t>
  </si>
  <si>
    <t>Byte 2</t>
  </si>
  <si>
    <t>Byte 3</t>
  </si>
  <si>
    <t>Byte 4</t>
  </si>
  <si>
    <t>Byte 5</t>
  </si>
  <si>
    <t>Byte 6</t>
  </si>
  <si>
    <t>Byte 7</t>
  </si>
  <si>
    <t>Byte 8</t>
  </si>
  <si>
    <t>Byte 9</t>
  </si>
  <si>
    <t>Byte 10</t>
  </si>
  <si>
    <t>Byte 11</t>
  </si>
  <si>
    <t>Byte 12</t>
  </si>
  <si>
    <t>Byte 13</t>
  </si>
  <si>
    <t>Byte 14</t>
  </si>
  <si>
    <t>Byte 15</t>
  </si>
  <si>
    <t>Byte 16</t>
  </si>
  <si>
    <t>Byte 17</t>
  </si>
  <si>
    <t>Byte 18</t>
  </si>
  <si>
    <t>Byte 19</t>
  </si>
  <si>
    <t>Byte 20</t>
  </si>
  <si>
    <t>Byte 21</t>
  </si>
  <si>
    <t>Byte 22</t>
  </si>
  <si>
    <t>Byte 23</t>
  </si>
  <si>
    <t>$02</t>
  </si>
  <si>
    <t>$16</t>
  </si>
  <si>
    <t>$00</t>
  </si>
  <si>
    <t>Bytes 3-4:</t>
  </si>
  <si>
    <t>AK (15-12)</t>
  </si>
  <si>
    <t>PNU(10-8)</t>
  </si>
  <si>
    <t>PNU (7-0)</t>
  </si>
  <si>
    <t>AK (15-12) Values:</t>
  </si>
  <si>
    <t>Binary</t>
  </si>
  <si>
    <t>0000</t>
  </si>
  <si>
    <t>0001</t>
  </si>
  <si>
    <t>0010</t>
  </si>
  <si>
    <t>0011</t>
  </si>
  <si>
    <t>0110</t>
  </si>
  <si>
    <t>0111</t>
  </si>
  <si>
    <t>1000</t>
  </si>
  <si>
    <t>Description</t>
  </si>
  <si>
    <t>No Access</t>
  </si>
  <si>
    <t>Parameter Value Requested</t>
  </si>
  <si>
    <t>Write a 16 bit value</t>
  </si>
  <si>
    <t>Write a 32 bit value</t>
  </si>
  <si>
    <t>Field Value requested</t>
  </si>
  <si>
    <t>Write a 16 bit field value</t>
  </si>
  <si>
    <t>Write a 32 bit field value</t>
  </si>
  <si>
    <t>Parameter Values:</t>
  </si>
  <si>
    <t>Device Type</t>
  </si>
  <si>
    <t>Number</t>
  </si>
  <si>
    <t>Byte4</t>
  </si>
  <si>
    <t>Hex</t>
  </si>
  <si>
    <t>Add 0</t>
  </si>
  <si>
    <t>final 2 char</t>
  </si>
  <si>
    <t>Actual frequency</t>
  </si>
  <si>
    <t>Actual intermediate circuit voltage</t>
  </si>
  <si>
    <t>Actual motor current</t>
  </si>
  <si>
    <t>Actual drive input power</t>
  </si>
  <si>
    <t>Actual motor temperature</t>
  </si>
  <si>
    <t>Save data command</t>
  </si>
  <si>
    <t>Actual converter temperature</t>
  </si>
  <si>
    <t>Motor temperature warning threshold</t>
  </si>
  <si>
    <t>Nominal motor current</t>
  </si>
  <si>
    <t>Nominal frequency</t>
  </si>
  <si>
    <t>Minimum nominal frequency</t>
  </si>
  <si>
    <t>Minimum frequency level</t>
  </si>
  <si>
    <t>Motor current threshold</t>
  </si>
  <si>
    <t>Pump type/Rotor type</t>
  </si>
  <si>
    <t>Setpoint frequency</t>
  </si>
  <si>
    <t>Frequency dependent normal operation threshold</t>
  </si>
  <si>
    <t>Software version communication electronics</t>
  </si>
  <si>
    <t>full binary</t>
  </si>
  <si>
    <t>10bit value</t>
  </si>
  <si>
    <t>bits 10-8</t>
  </si>
  <si>
    <t>Bits 7-0</t>
  </si>
  <si>
    <t>AK</t>
  </si>
  <si>
    <t>Parameter</t>
  </si>
  <si>
    <t>Field</t>
  </si>
  <si>
    <t>Lower temperature switching threshold (for TURBOVAC iX only)</t>
  </si>
  <si>
    <t>Upper current switching threshold (for TURBOVAC iX only)</t>
  </si>
  <si>
    <t>Upper frequency switching threshold (for TURBOVAC iX only)</t>
  </si>
  <si>
    <t>Relay function selection on X1</t>
  </si>
  <si>
    <t>Analog output function</t>
  </si>
  <si>
    <t>Index 1: Upper limit for analog output                                           Index 2: Lower limit for analog output</t>
  </si>
  <si>
    <t>Max. run-up time</t>
  </si>
  <si>
    <t>Start delay time</t>
  </si>
  <si>
    <t>RS485 address</t>
  </si>
  <si>
    <t>Number of start commands</t>
  </si>
  <si>
    <t>Error counter total</t>
  </si>
  <si>
    <t>Error counter overload</t>
  </si>
  <si>
    <t>Error counter supply</t>
  </si>
  <si>
    <t>Index 0: Bearing break-in function                                     Index 1: Status bearing break-in function</t>
  </si>
  <si>
    <t>Switching threshold for bearing temperature relay output (for TURBOVAC iX only)</t>
  </si>
  <si>
    <t>Actual bearing temperature</t>
  </si>
  <si>
    <t>Bearing temperature warning threshold</t>
  </si>
  <si>
    <t>Motor temperature lower warning threshold</t>
  </si>
  <si>
    <t>Motor temperature lower error threshold</t>
  </si>
  <si>
    <t>Bearing temperature error threshold</t>
  </si>
  <si>
    <t>Motor temperature error threshold</t>
  </si>
  <si>
    <t>Function of the accessory connections X201 (Index 0) / X202 (Index 1) / X203 (Index 2) (for TURBOVAC iX only)</t>
  </si>
  <si>
    <t>Intermediate circuit current</t>
  </si>
  <si>
    <t>Standby frequency</t>
  </si>
  <si>
    <t>Error code memory</t>
  </si>
  <si>
    <t>Rotational frequency at time of the error</t>
  </si>
  <si>
    <t>Operat. hours count at time of error</t>
  </si>
  <si>
    <t>Response when cancelling the control rights or in the case of a communication interruption of the bus adapter</t>
  </si>
  <si>
    <t>USS Response delay time</t>
  </si>
  <si>
    <t>Delay when cancelling the control rights of the bus adapter and time-out in the case of a communication interruption</t>
  </si>
  <si>
    <t>Max. passing time</t>
  </si>
  <si>
    <t>Converter operating hours</t>
  </si>
  <si>
    <t>Max. converter DC input current</t>
  </si>
  <si>
    <t>Active warnings described bit per bit.</t>
  </si>
  <si>
    <t>Vent on frequency</t>
  </si>
  <si>
    <t>Vent off frequency</t>
  </si>
  <si>
    <t>Generator mode</t>
  </si>
  <si>
    <t>Converter part number (Index 0 ... 17)</t>
  </si>
  <si>
    <t>Product name (Index 0 ... 17)</t>
  </si>
  <si>
    <t>Configuration text (Index 0 ... 26)</t>
  </si>
  <si>
    <t>Converter serial number (Index 0...10 usable)</t>
  </si>
  <si>
    <t>Converter hardware version (Index 0 ... 17)</t>
  </si>
  <si>
    <t>Pump parameter set (Index 0 ... 17)</t>
  </si>
  <si>
    <t>Pump part number (Index 0 ... 17)</t>
  </si>
  <si>
    <t>Pump serial number (Index 0 ... 17)</t>
  </si>
  <si>
    <t>Communication electronics part number (Index 0 ... 17)</t>
  </si>
  <si>
    <t>Communication electronics serial number (Index 0 ... 17)</t>
  </si>
  <si>
    <t>Communication electronics hardware version (Index 0 ... 17)</t>
  </si>
  <si>
    <t>Gauge head Equipment Type</t>
  </si>
  <si>
    <t>Gauge head subtype</t>
  </si>
  <si>
    <t>Gauge head
status word</t>
  </si>
  <si>
    <t>Gauge head
control word</t>
  </si>
  <si>
    <t>Gas type correction factor available</t>
  </si>
  <si>
    <t>Gas type correction factor</t>
  </si>
  <si>
    <t>Customer specific gas type correction factor</t>
  </si>
  <si>
    <t>Filtering time</t>
  </si>
  <si>
    <t>Gauge head pressure value in mbar</t>
  </si>
  <si>
    <t>Pressure value of the gauge head in torr</t>
  </si>
  <si>
    <t>Pressure value of the gauge head in Pa</t>
  </si>
  <si>
    <t>Gauge head measurement
voltage</t>
  </si>
  <si>
    <t>Gas type</t>
  </si>
  <si>
    <t>System warning bits</t>
  </si>
  <si>
    <t>Gauge head
warning bits</t>
  </si>
  <si>
    <t>Pump start function</t>
  </si>
  <si>
    <t>Status word accessory output X201 (Index 0) / X202 (Index 1) / X203 (Index 2)</t>
  </si>
  <si>
    <t>Control word accessory output X201 (Index 0) / X202 (Index 1) / X203 (Index 2)</t>
  </si>
  <si>
    <t>Accessory output switch-on delay</t>
  </si>
  <si>
    <t>Accessory output switch-off delay</t>
  </si>
  <si>
    <t>Lower frequency switching threshold</t>
  </si>
  <si>
    <t>Upper pressure switching threshold</t>
  </si>
  <si>
    <t>Lower pressure switching threshold</t>
  </si>
  <si>
    <t>Lower current switching threshold</t>
  </si>
  <si>
    <t>Communication electronics temperature</t>
  </si>
  <si>
    <t>Communication electronics temperature warning threshold</t>
  </si>
  <si>
    <t>Communication electronics temperature error threshold</t>
  </si>
  <si>
    <t>Communication electronics software version</t>
  </si>
  <si>
    <t>Equipment error code</t>
  </si>
  <si>
    <t>Electronics operating time upon error occurrence</t>
  </si>
  <si>
    <t>Electronics operating hours</t>
  </si>
  <si>
    <t>Pressure switching threshold for the function of pressure dependent starting of the pump</t>
  </si>
  <si>
    <t>Index 1: Upper limit for analogue output</t>
  </si>
  <si>
    <t>Set bus address parameter</t>
  </si>
  <si>
    <t>Active bus address</t>
  </si>
  <si>
    <t>Type of bus address</t>
  </si>
  <si>
    <t>Reset to factory default</t>
  </si>
  <si>
    <t>Pump serial number</t>
  </si>
  <si>
    <t>Drive electronics software version
x.yy.zz</t>
  </si>
  <si>
    <t>Frequency converter temperature warning threshold</t>
  </si>
  <si>
    <t>Frequency converter temperature error threshold</t>
  </si>
  <si>
    <t>Parameter Index</t>
  </si>
  <si>
    <t>Index Values</t>
  </si>
  <si>
    <t>P#</t>
  </si>
  <si>
    <t>Pdescription</t>
  </si>
  <si>
    <t>Index</t>
  </si>
  <si>
    <t>Index Description</t>
  </si>
  <si>
    <t>TURBOVAC 350/450 i</t>
  </si>
  <si>
    <t>TURBOVAC 350/450 i with optional interface</t>
  </si>
  <si>
    <t>TURBOVAC 350/450 iX</t>
  </si>
  <si>
    <t>TURBOVAC 80/200 i</t>
  </si>
  <si>
    <t>TURBOVAC 80/200 with optional interface</t>
  </si>
  <si>
    <t>TURBOVAC 80/200 iX</t>
  </si>
  <si>
    <t>No Index</t>
  </si>
  <si>
    <t>TURBOVAC i/iX CL (classic)</t>
  </si>
  <si>
    <t>TURBOVAC i/iX WR (wide-range)</t>
  </si>
  <si>
    <t>TURBOVAC i/iX MI (multi-inlet)</t>
  </si>
  <si>
    <t>X201</t>
  </si>
  <si>
    <t>X202</t>
  </si>
  <si>
    <t>X203</t>
  </si>
  <si>
    <t>Frequency dependent (=ZSW Bit 10)</t>
  </si>
  <si>
    <t>Motor current dependent (not applied)</t>
  </si>
  <si>
    <t>Fieldbus controlled (=STW Bit 12)</t>
  </si>
  <si>
    <t>Trigger current bearing temperature (P122)</t>
  </si>
  <si>
    <t>Venting function (P247/P248)</t>
  </si>
  <si>
    <t>Pump at standstill (=ZSW Bit 11) )</t>
  </si>
  <si>
    <t>Start command is present</t>
  </si>
  <si>
    <t>Ready for switch on (=ZSW Bit0)</t>
  </si>
  <si>
    <t>not applied</t>
  </si>
  <si>
    <t>0 (Normal Operation)</t>
  </si>
  <si>
    <t>2 (Warning)</t>
  </si>
  <si>
    <t>1 (Error)</t>
  </si>
  <si>
    <t>Energised when an error is present</t>
  </si>
  <si>
    <t>Deenergised when an error is present</t>
  </si>
  <si>
    <t>Fieldbus controlled</t>
  </si>
  <si>
    <t>Energised when an warning is present</t>
  </si>
  <si>
    <t>Deenergised when an warning is present</t>
  </si>
  <si>
    <t>no function</t>
  </si>
  <si>
    <t>Pump temperature P127</t>
  </si>
  <si>
    <t>Motor current P5</t>
  </si>
  <si>
    <t>Frequency P3</t>
  </si>
  <si>
    <t>Input voltage P4</t>
  </si>
  <si>
    <t>Measured value of the pressure sensor (available for iX only)</t>
  </si>
  <si>
    <t>None</t>
  </si>
  <si>
    <t>Byte</t>
  </si>
  <si>
    <t>Hex Seg.</t>
  </si>
  <si>
    <t xml:space="preserve">Decimal </t>
  </si>
  <si>
    <t>Xor</t>
  </si>
  <si>
    <t>converter starts pump normally</t>
  </si>
  <si>
    <t>converter starts with phase 1</t>
  </si>
  <si>
    <t>converter starts with phase 2</t>
  </si>
  <si>
    <t>converter starts with phase 3</t>
  </si>
  <si>
    <t>1st phase active</t>
  </si>
  <si>
    <t>2nd phase active</t>
  </si>
  <si>
    <t>3rd phase active</t>
  </si>
  <si>
    <t>4th phase active</t>
  </si>
  <si>
    <t>Always off</t>
  </si>
  <si>
    <t>Error</t>
  </si>
  <si>
    <t>No error</t>
  </si>
  <si>
    <t>Warning</t>
  </si>
  <si>
    <t>No warning</t>
  </si>
  <si>
    <t>Pump in normal operation</t>
  </si>
  <si>
    <t>Pump not in normal operation</t>
  </si>
  <si>
    <t>Pump is turning</t>
  </si>
  <si>
    <t>Pump at standstill</t>
  </si>
  <si>
    <t>Indexed parameter for storing the most recent 254 error codes. The individual error memory entries are accessed via this parameter with additional index number. The last error code is accessed with index 0 and the oldest with index 253.</t>
  </si>
  <si>
    <t>Notes</t>
  </si>
  <si>
    <t>Access analogously as for parameter 171</t>
  </si>
  <si>
    <t>16 bit index for multiple possibilities</t>
  </si>
  <si>
    <t>Pump temperature 1 has passed the warning threshold</t>
  </si>
  <si>
    <t>Pump temperature 2 has passed the warning threshold</t>
  </si>
  <si>
    <t>Pump temperature 3 has passed the warning threshold</t>
  </si>
  <si>
    <t>The minimum permissible ambient temperature is not reached.</t>
  </si>
  <si>
    <t>Overspeed warning: The actual value exceeds the setpoint by more than 10 Hz</t>
  </si>
  <si>
    <t>Pump temperature 4 has passed the warning threshold</t>
  </si>
  <si>
    <t>Overload warning: The pump speed has dropped under the normal operation threshold</t>
  </si>
  <si>
    <t>Pump temperature 5 has passed the warning threshold</t>
  </si>
  <si>
    <t>Pump temperature 6 has passed the warning threshold</t>
  </si>
  <si>
    <t>Not Used</t>
  </si>
  <si>
    <t>P227 Warning Bits</t>
  </si>
  <si>
    <t>Power supply voltage warning: Supply voltage failure during active operation of the pumpP4 &gt; Umax or P4 &lt; Umin</t>
  </si>
  <si>
    <t>See P227 Warning Bits</t>
  </si>
  <si>
    <t>Index Codes</t>
  </si>
  <si>
    <t>Full Binary</t>
  </si>
  <si>
    <t>Binary Byte6</t>
  </si>
  <si>
    <t>Binary Byte7</t>
  </si>
  <si>
    <t>Fbdata</t>
  </si>
  <si>
    <t>Hex Byte6</t>
  </si>
  <si>
    <t>Hexbyt7</t>
  </si>
  <si>
    <t>PValueMax</t>
  </si>
  <si>
    <t>Brian</t>
  </si>
  <si>
    <t>B</t>
  </si>
  <si>
    <t>R</t>
  </si>
  <si>
    <t>I</t>
  </si>
  <si>
    <t>A</t>
  </si>
  <si>
    <t>N</t>
  </si>
  <si>
    <t>Text</t>
  </si>
  <si>
    <t>ASCII</t>
  </si>
  <si>
    <t>HEX</t>
  </si>
  <si>
    <r>
      <t xml:space="preserve">Parameter Value </t>
    </r>
    <r>
      <rPr>
        <sz val="8"/>
        <color theme="1"/>
        <rFont val="Calibri"/>
        <family val="2"/>
        <scheme val="minor"/>
      </rPr>
      <t>(Numeric, 0-65535)</t>
    </r>
  </si>
  <si>
    <r>
      <t xml:space="preserve">Parameter Value     </t>
    </r>
    <r>
      <rPr>
        <sz val="8"/>
        <color theme="1"/>
        <rFont val="Calibri"/>
        <family val="2"/>
        <scheme val="minor"/>
      </rPr>
      <t>(ASCII Characters)</t>
    </r>
  </si>
  <si>
    <t>00</t>
  </si>
  <si>
    <t>ASCII Characters:</t>
  </si>
  <si>
    <t>Start of Heading</t>
  </si>
  <si>
    <t>Start of Text</t>
  </si>
  <si>
    <t>End of Text</t>
  </si>
  <si>
    <t>End of Transmission</t>
  </si>
  <si>
    <t>Enquiry</t>
  </si>
  <si>
    <t>Acknowledgment</t>
  </si>
  <si>
    <t>Bell</t>
  </si>
  <si>
    <t>Back Space</t>
  </si>
  <si>
    <t>Horizontal Tab</t>
  </si>
  <si>
    <t>Line Feed</t>
  </si>
  <si>
    <t>Vertical Tab</t>
  </si>
  <si>
    <t>Form Feed</t>
  </si>
  <si>
    <t>Carriage Return</t>
  </si>
  <si>
    <t>Shift Out / X-On</t>
  </si>
  <si>
    <t>Shift In / X-Off</t>
  </si>
  <si>
    <t>Data Line Escape</t>
  </si>
  <si>
    <t>Device Control 1 (oft. XON)</t>
  </si>
  <si>
    <t>Device Control 2</t>
  </si>
  <si>
    <t>Device Control 3 (oft. XOFF)</t>
  </si>
  <si>
    <t>Device Control 4</t>
  </si>
  <si>
    <t>Negative Acknowledgement</t>
  </si>
  <si>
    <t>Synchronous Idle</t>
  </si>
  <si>
    <t>End of Transmit Block</t>
  </si>
  <si>
    <t>Cancel</t>
  </si>
  <si>
    <t>End of Medium</t>
  </si>
  <si>
    <t>Substitute</t>
  </si>
  <si>
    <t>Escape</t>
  </si>
  <si>
    <t>File Separator</t>
  </si>
  <si>
    <t>Group Separator</t>
  </si>
  <si>
    <t>Record Separator</t>
  </si>
  <si>
    <t>Unit Separator</t>
  </si>
  <si>
    <t>Space</t>
  </si>
  <si>
    <t>Exclamation mark</t>
  </si>
  <si>
    <t>Double quotes (or speech marks)</t>
  </si>
  <si>
    <t>Dollar</t>
  </si>
  <si>
    <t>Procenttecken</t>
  </si>
  <si>
    <t>Ampersand</t>
  </si>
  <si>
    <t>Single quote</t>
  </si>
  <si>
    <t>Open parenthesis (or open bracket)</t>
  </si>
  <si>
    <t>Close parenthesis (or close bracket)</t>
  </si>
  <si>
    <t>Asterisk</t>
  </si>
  <si>
    <t>Plus</t>
  </si>
  <si>
    <t>Comma</t>
  </si>
  <si>
    <t>Hyphen</t>
  </si>
  <si>
    <t>Period, dot or full stop</t>
  </si>
  <si>
    <t>Slash or divide</t>
  </si>
  <si>
    <t>Zero</t>
  </si>
  <si>
    <t>One</t>
  </si>
  <si>
    <t>Two</t>
  </si>
  <si>
    <t>Three</t>
  </si>
  <si>
    <t>Four</t>
  </si>
  <si>
    <t>Five</t>
  </si>
  <si>
    <t>Six</t>
  </si>
  <si>
    <t>Seven</t>
  </si>
  <si>
    <t>Eight</t>
  </si>
  <si>
    <t>Nine</t>
  </si>
  <si>
    <t>Colon</t>
  </si>
  <si>
    <t>Semicolon</t>
  </si>
  <si>
    <t>Less than (or open angled bracket)</t>
  </si>
  <si>
    <t>Equals</t>
  </si>
  <si>
    <t>Greater than (or close angled bracket)</t>
  </si>
  <si>
    <t>Question mark</t>
  </si>
  <si>
    <t>At symbol</t>
  </si>
  <si>
    <t>Uppercase A</t>
  </si>
  <si>
    <t>Uppercase B</t>
  </si>
  <si>
    <t>Uppercase C</t>
  </si>
  <si>
    <t>Uppercase D</t>
  </si>
  <si>
    <t>Uppercase E</t>
  </si>
  <si>
    <t>Uppercase F</t>
  </si>
  <si>
    <t>Uppercase G</t>
  </si>
  <si>
    <t>Uppercase H</t>
  </si>
  <si>
    <t>Uppercase I</t>
  </si>
  <si>
    <t>Uppercase J</t>
  </si>
  <si>
    <t>Uppercase K</t>
  </si>
  <si>
    <t>Uppercase L</t>
  </si>
  <si>
    <t>Uppercase M</t>
  </si>
  <si>
    <t>Uppercase N</t>
  </si>
  <si>
    <t>Uppercase O</t>
  </si>
  <si>
    <t>Uppercase P</t>
  </si>
  <si>
    <t>Uppercase Q</t>
  </si>
  <si>
    <t>Uppercase R</t>
  </si>
  <si>
    <t>Uppercase S</t>
  </si>
  <si>
    <t>Uppercase T</t>
  </si>
  <si>
    <t>Uppercase U</t>
  </si>
  <si>
    <t>Uppercase V</t>
  </si>
  <si>
    <t>Uppercase W</t>
  </si>
  <si>
    <t>Uppercase X</t>
  </si>
  <si>
    <t>Uppercase Y</t>
  </si>
  <si>
    <t>Uppercase Z</t>
  </si>
  <si>
    <t>Opening bracket</t>
  </si>
  <si>
    <t>Backslash</t>
  </si>
  <si>
    <t>Closing bracket</t>
  </si>
  <si>
    <t>Caret - circumflex</t>
  </si>
  <si>
    <t>Underscore</t>
  </si>
  <si>
    <t>Grave accent</t>
  </si>
  <si>
    <t>Lowercase a</t>
  </si>
  <si>
    <t>Lowercase b</t>
  </si>
  <si>
    <t>Lowercase c</t>
  </si>
  <si>
    <t>Lowercase d</t>
  </si>
  <si>
    <t>Lowercase e</t>
  </si>
  <si>
    <t>Lowercase f</t>
  </si>
  <si>
    <t>Lowercase g</t>
  </si>
  <si>
    <t>Lowercase h</t>
  </si>
  <si>
    <t>Lowercase i</t>
  </si>
  <si>
    <t>Lowercase j</t>
  </si>
  <si>
    <t>Lowercase k</t>
  </si>
  <si>
    <t>Lowercase l</t>
  </si>
  <si>
    <t>Lowercase m</t>
  </si>
  <si>
    <t>Lowercase n</t>
  </si>
  <si>
    <t>Lowercase o</t>
  </si>
  <si>
    <t>Lowercase p</t>
  </si>
  <si>
    <t>Lowercase q</t>
  </si>
  <si>
    <t>Lowercase r</t>
  </si>
  <si>
    <t>Lowercase s</t>
  </si>
  <si>
    <t>Lowercase t</t>
  </si>
  <si>
    <t>Lowercase u</t>
  </si>
  <si>
    <t>Lowercase v</t>
  </si>
  <si>
    <t>Lowercase w</t>
  </si>
  <si>
    <t>Lowercase x</t>
  </si>
  <si>
    <t>Lowercase y</t>
  </si>
  <si>
    <t>Lowercase z</t>
  </si>
  <si>
    <t>Opening brace</t>
  </si>
  <si>
    <t>Vertical bar</t>
  </si>
  <si>
    <t>Closing brace</t>
  </si>
  <si>
    <t>Equivalency sign - tilde</t>
  </si>
  <si>
    <t>Delete</t>
  </si>
  <si>
    <t>Null Char</t>
  </si>
  <si>
    <t>Control Bits</t>
  </si>
  <si>
    <t>24 VDC output X203 (function present on the TURBOVAC iX only)</t>
  </si>
  <si>
    <t>24 VDC output X202 (function present on the TURBOVAC iX only)</t>
  </si>
  <si>
    <t>Warning relay X1</t>
  </si>
  <si>
    <t>Normal operation relay X1</t>
  </si>
  <si>
    <t>Error operation relay X1</t>
  </si>
  <si>
    <t>Enable process data (Bit 0, 5, 6, 7, 8, 13, 14, 15)</t>
  </si>
  <si>
    <t>Not assigned</t>
  </si>
  <si>
    <t>Enable standby function</t>
  </si>
  <si>
    <t>Reset error (all components)
Resetting impossible when Bit 0 = 1; Start is active</t>
  </si>
  <si>
    <t>Enable main setpoint PZD2
PZD2 = speed setpoint</t>
  </si>
  <si>
    <t>24 VDC output X201</t>
  </si>
  <si>
    <t>Start/Stop</t>
  </si>
  <si>
    <t>Control Word</t>
  </si>
  <si>
    <t>Telegram (Numeric Parameter):</t>
  </si>
  <si>
    <t>Telegram (ASCII Parameter):</t>
  </si>
  <si>
    <t>See Control Bits (AK4 - AZ4)</t>
  </si>
  <si>
    <t>No Parameter</t>
  </si>
  <si>
    <t>ASCII Seg.</t>
  </si>
  <si>
    <t>DecASCII</t>
  </si>
  <si>
    <t>XorASCII</t>
  </si>
  <si>
    <t>Telegram:</t>
  </si>
  <si>
    <t>Start Byte</t>
  </si>
  <si>
    <t>Length of the Payload data block in bytes</t>
  </si>
  <si>
    <t>Dec</t>
  </si>
  <si>
    <t>Frequency Converter Address</t>
  </si>
  <si>
    <t>Parameter Type (bits 15-8)</t>
  </si>
  <si>
    <t>Parameter Type (bits 7-0)</t>
  </si>
  <si>
    <t>Reserved</t>
  </si>
  <si>
    <t>Parameter Value (bits 31-24)</t>
  </si>
  <si>
    <t>Parameter Value (bits 23-16)</t>
  </si>
  <si>
    <t>Parameter Value (bits 15-8)</t>
  </si>
  <si>
    <t>Parameter Value (bits7-0)</t>
  </si>
  <si>
    <t>Status Word (bits 15-8)</t>
  </si>
  <si>
    <t>Status Word (bits 7-0)</t>
  </si>
  <si>
    <t>Stator Frequency (bits 15-8)</t>
  </si>
  <si>
    <t>Stator Frequency (bits 7-0)</t>
  </si>
  <si>
    <t>Freq. Converter Temp (bits 15-8)</t>
  </si>
  <si>
    <t>Freq. Converter Temp (bits 7-0)</t>
  </si>
  <si>
    <t>Motor Current (bits 15-8)</t>
  </si>
  <si>
    <t>Motor Current (bits 7-0)</t>
  </si>
  <si>
    <t>Intermediate Circuit Voltage (bits 15-8)</t>
  </si>
  <si>
    <t>Intermediate Circuit Voltage (bits 7-0)</t>
  </si>
  <si>
    <t>Checksum</t>
  </si>
  <si>
    <t>Stator Frequency:</t>
  </si>
  <si>
    <t>Hz</t>
  </si>
  <si>
    <t>Converter Temp:</t>
  </si>
  <si>
    <t>Motor Current:</t>
  </si>
  <si>
    <t>Voltage</t>
  </si>
  <si>
    <t>V</t>
  </si>
  <si>
    <t>C</t>
  </si>
  <si>
    <t>Ready for Operation</t>
  </si>
  <si>
    <t>No Function</t>
  </si>
  <si>
    <t>Operation Enabled</t>
  </si>
  <si>
    <t>Error Condition (All Components)</t>
  </si>
  <si>
    <t>Accelerating</t>
  </si>
  <si>
    <t>Decelerating</t>
  </si>
  <si>
    <t>Switch-On Lock</t>
  </si>
  <si>
    <t>Temperature Warning</t>
  </si>
  <si>
    <t>Parameter Channel Enabled</t>
  </si>
  <si>
    <t>Normal Operation Detained</t>
  </si>
  <si>
    <t>Pump is Turning</t>
  </si>
  <si>
    <t>Overload Warning</t>
  </si>
  <si>
    <t>Collective Warning</t>
  </si>
  <si>
    <t>Process Channel Enabled</t>
  </si>
  <si>
    <t>PUMP Status</t>
  </si>
  <si>
    <t>Power Supply Voltage:</t>
  </si>
  <si>
    <t>Hex Parameter:</t>
  </si>
  <si>
    <t>Parameter Value:</t>
  </si>
  <si>
    <t>Parameter Index:</t>
  </si>
  <si>
    <t>Parameter Type:</t>
  </si>
  <si>
    <t>Look up individually</t>
  </si>
  <si>
    <t>021600100300000000006A8B14006A0020005D00280018D5</t>
  </si>
  <si>
    <t>Binary 16bit</t>
  </si>
  <si>
    <t>Binary 10 bit</t>
  </si>
  <si>
    <t>Hex (10 Bit)</t>
  </si>
  <si>
    <t>numeric</t>
  </si>
  <si>
    <t>Index:</t>
  </si>
  <si>
    <t>Parameter: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</si>
</sst>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00000000000000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sz val="10"/>
      <color rgb="FF333333"/>
      <name val="Verdana"/>
      <family val="2"/>
    </font>
    <font>
      <u/>
      <sz val="11"/>
      <color theme="10"/>
      <name val="Calibri"/>
      <family val="2"/>
      <scheme val="minor"/>
    </font>
    <font>
      <sz val="12"/>
      <color rgb="FF000000"/>
      <name val="Arial"/>
      <family val="2"/>
    </font>
    <font>
      <sz val="8"/>
      <color theme="1"/>
      <name val="Calibri"/>
      <family val="2"/>
      <scheme val="minor"/>
    </font>
    <font>
      <sz val="9"/>
      <color theme="0"/>
      <name val="Verdana"/>
      <family val="2"/>
    </font>
    <font>
      <b/>
      <sz val="10"/>
      <color theme="0"/>
      <name val="Calibri"/>
      <family val="2"/>
      <scheme val="minor"/>
    </font>
    <font>
      <sz val="10"/>
      <color theme="0"/>
      <name val="Calibri"/>
      <family val="2"/>
      <scheme val="minor"/>
    </font>
    <font>
      <sz val="10"/>
      <color theme="1"/>
      <name val="Calibri"/>
      <family val="2"/>
      <scheme val="minor"/>
    </font>
    <font>
      <b/>
      <sz val="14"/>
      <color theme="0"/>
      <name val="Calibri"/>
      <family val="2"/>
      <scheme val="minor"/>
    </font>
    <font>
      <sz val="18"/>
      <color theme="1"/>
      <name val="Calibri"/>
      <family val="2"/>
      <scheme val="minor"/>
    </font>
    <font>
      <sz val="20"/>
      <color theme="1"/>
      <name val="Calibri"/>
      <family val="2"/>
      <scheme val="minor"/>
    </font>
    <font>
      <b/>
      <sz val="14"/>
      <color theme="1"/>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6337778862885"/>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style="thick">
        <color indexed="64"/>
      </top>
      <bottom style="thick">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2">
    <xf numFmtId="0" fontId="0" fillId="0" borderId="0"/>
    <xf numFmtId="0" fontId="6" fillId="0" borderId="0" applyNumberFormat="0" applyFill="0" applyBorder="0" applyAlignment="0" applyProtection="0"/>
  </cellStyleXfs>
  <cellXfs count="145">
    <xf numFmtId="0" fontId="0" fillId="0" borderId="0" xfId="0"/>
    <xf numFmtId="49" fontId="0" fillId="0" borderId="0" xfId="0" applyNumberFormat="1"/>
    <xf numFmtId="0" fontId="0" fillId="3" borderId="1" xfId="0" applyFill="1" applyBorder="1" applyAlignment="1">
      <alignment horizontal="center" vertical="center"/>
    </xf>
    <xf numFmtId="49" fontId="0" fillId="3" borderId="1" xfId="0" applyNumberFormat="1" applyFill="1" applyBorder="1" applyAlignment="1">
      <alignment horizontal="center" vertical="center"/>
    </xf>
    <xf numFmtId="0" fontId="0" fillId="0" borderId="0" xfId="0" applyNumberFormat="1"/>
    <xf numFmtId="0" fontId="0" fillId="4" borderId="1" xfId="0" applyNumberFormat="1" applyFill="1" applyBorder="1" applyAlignment="1">
      <alignment horizontal="center" vertical="center"/>
    </xf>
    <xf numFmtId="0" fontId="0" fillId="5" borderId="0" xfId="0" applyFill="1"/>
    <xf numFmtId="49" fontId="0" fillId="5" borderId="0" xfId="0" applyNumberFormat="1" applyFill="1"/>
    <xf numFmtId="0" fontId="0" fillId="5" borderId="1" xfId="0" applyFill="1" applyBorder="1"/>
    <xf numFmtId="0" fontId="0" fillId="5" borderId="2" xfId="0" applyFill="1" applyBorder="1"/>
    <xf numFmtId="0" fontId="0" fillId="5" borderId="1" xfId="0" applyNumberFormat="1" applyFill="1" applyBorder="1"/>
    <xf numFmtId="49" fontId="0" fillId="5" borderId="1" xfId="0" applyNumberFormat="1" applyFill="1" applyBorder="1"/>
    <xf numFmtId="0" fontId="0" fillId="5" borderId="0" xfId="0" applyNumberFormat="1" applyFill="1"/>
    <xf numFmtId="0" fontId="4" fillId="5" borderId="0" xfId="0" applyFont="1" applyFill="1" applyAlignment="1">
      <alignment horizontal="right"/>
    </xf>
    <xf numFmtId="164" fontId="0" fillId="5" borderId="0" xfId="0" applyNumberFormat="1" applyFill="1"/>
    <xf numFmtId="0" fontId="0" fillId="5" borderId="0" xfId="0" applyFill="1" applyAlignment="1">
      <alignment horizontal="right"/>
    </xf>
    <xf numFmtId="0" fontId="0" fillId="5" borderId="0" xfId="0" applyNumberFormat="1" applyFill="1" applyBorder="1" applyAlignment="1">
      <alignment horizontal="right"/>
    </xf>
    <xf numFmtId="0" fontId="0" fillId="0" borderId="0" xfId="0" applyAlignment="1">
      <alignment wrapText="1"/>
    </xf>
    <xf numFmtId="0" fontId="0" fillId="5" borderId="0" xfId="0" applyFill="1" applyAlignment="1">
      <alignment wrapText="1"/>
    </xf>
    <xf numFmtId="0" fontId="0" fillId="5" borderId="1" xfId="0" applyFill="1" applyBorder="1" applyAlignment="1">
      <alignment wrapText="1"/>
    </xf>
    <xf numFmtId="0" fontId="0" fillId="5" borderId="1" xfId="0" applyNumberFormat="1" applyFill="1" applyBorder="1" applyAlignment="1">
      <alignment wrapText="1"/>
    </xf>
    <xf numFmtId="49" fontId="0" fillId="3" borderId="3" xfId="0" applyNumberFormat="1" applyFill="1" applyBorder="1" applyAlignment="1">
      <alignment horizontal="center" vertical="center"/>
    </xf>
    <xf numFmtId="0" fontId="0" fillId="2" borderId="1" xfId="0" applyFill="1" applyBorder="1"/>
    <xf numFmtId="0" fontId="0" fillId="2" borderId="1" xfId="0" applyFill="1" applyBorder="1" applyAlignment="1">
      <alignment wrapText="1"/>
    </xf>
    <xf numFmtId="49" fontId="0" fillId="2" borderId="1" xfId="0" applyNumberFormat="1" applyFill="1" applyBorder="1"/>
    <xf numFmtId="165" fontId="5" fillId="2" borderId="1" xfId="0" applyNumberFormat="1" applyFont="1" applyFill="1" applyBorder="1"/>
    <xf numFmtId="165" fontId="0" fillId="2" borderId="1" xfId="0" applyNumberFormat="1" applyFill="1" applyBorder="1"/>
    <xf numFmtId="0" fontId="0" fillId="2" borderId="1" xfId="0" applyNumberFormat="1" applyFill="1" applyBorder="1"/>
    <xf numFmtId="0" fontId="5" fillId="2" borderId="1" xfId="0" applyFont="1" applyFill="1" applyBorder="1"/>
    <xf numFmtId="0" fontId="0" fillId="7" borderId="1" xfId="0" applyFill="1" applyBorder="1" applyAlignment="1">
      <alignment wrapText="1"/>
    </xf>
    <xf numFmtId="49" fontId="0" fillId="7" borderId="1" xfId="0" applyNumberFormat="1" applyFill="1" applyBorder="1" applyAlignment="1">
      <alignment wrapText="1"/>
    </xf>
    <xf numFmtId="0" fontId="0" fillId="2" borderId="2" xfId="0" applyFill="1" applyBorder="1"/>
    <xf numFmtId="0" fontId="0" fillId="2" borderId="2" xfId="0" applyFill="1" applyBorder="1" applyAlignment="1">
      <alignment wrapText="1"/>
    </xf>
    <xf numFmtId="0" fontId="0" fillId="3" borderId="0" xfId="0" applyNumberFormat="1" applyFill="1" applyBorder="1" applyAlignment="1">
      <alignment horizontal="center" vertical="center"/>
    </xf>
    <xf numFmtId="0" fontId="6" fillId="0" borderId="0" xfId="1" applyAlignment="1">
      <alignment wrapText="1"/>
    </xf>
    <xf numFmtId="0" fontId="0" fillId="9" borderId="0" xfId="0" applyFill="1"/>
    <xf numFmtId="0" fontId="0" fillId="9" borderId="0" xfId="0" applyFill="1" applyAlignment="1">
      <alignment wrapText="1"/>
    </xf>
    <xf numFmtId="0" fontId="0" fillId="9" borderId="0" xfId="0" applyFill="1" applyAlignment="1">
      <alignment horizontal="left" vertical="center"/>
    </xf>
    <xf numFmtId="0" fontId="0" fillId="9" borderId="0" xfId="0" applyFill="1" applyAlignment="1">
      <alignment horizontal="left" vertical="center" wrapText="1"/>
    </xf>
    <xf numFmtId="0" fontId="0" fillId="10" borderId="0" xfId="0" applyFill="1"/>
    <xf numFmtId="0" fontId="0" fillId="10" borderId="0" xfId="0" applyFill="1" applyAlignment="1">
      <alignment wrapText="1"/>
    </xf>
    <xf numFmtId="0" fontId="7" fillId="10" borderId="0" xfId="0" applyFont="1" applyFill="1"/>
    <xf numFmtId="165" fontId="0" fillId="10" borderId="0" xfId="0" applyNumberFormat="1" applyFill="1"/>
    <xf numFmtId="0" fontId="0" fillId="11" borderId="6" xfId="0" applyFill="1" applyBorder="1"/>
    <xf numFmtId="0" fontId="0" fillId="11" borderId="7" xfId="0" applyFill="1" applyBorder="1" applyAlignment="1">
      <alignment wrapText="1"/>
    </xf>
    <xf numFmtId="0" fontId="0" fillId="11" borderId="7" xfId="0" applyFill="1" applyBorder="1"/>
    <xf numFmtId="0" fontId="0" fillId="11" borderId="8" xfId="0" applyFill="1" applyBorder="1" applyAlignment="1">
      <alignment wrapText="1"/>
    </xf>
    <xf numFmtId="0" fontId="0" fillId="5" borderId="0" xfId="0" applyFill="1" applyAlignment="1">
      <alignment horizontal="center" vertical="center" wrapText="1"/>
    </xf>
    <xf numFmtId="0" fontId="0" fillId="5" borderId="0" xfId="0" applyFill="1" applyAlignment="1">
      <alignment horizontal="center" vertical="center"/>
    </xf>
    <xf numFmtId="0" fontId="2" fillId="5" borderId="1" xfId="0" applyNumberFormat="1" applyFont="1" applyFill="1" applyBorder="1" applyAlignment="1">
      <alignment horizontal="center" vertical="center"/>
    </xf>
    <xf numFmtId="49" fontId="2" fillId="5" borderId="1" xfId="0" applyNumberFormat="1" applyFont="1" applyFill="1" applyBorder="1" applyAlignment="1">
      <alignment horizontal="center" vertical="center"/>
    </xf>
    <xf numFmtId="0" fontId="0" fillId="0" borderId="0" xfId="0" applyAlignment="1">
      <alignment horizontal="left"/>
    </xf>
    <xf numFmtId="0" fontId="3" fillId="11" borderId="1" xfId="0" applyFont="1" applyFill="1" applyBorder="1" applyAlignment="1">
      <alignment horizontal="left"/>
    </xf>
    <xf numFmtId="0" fontId="9" fillId="11" borderId="1" xfId="0" applyFont="1" applyFill="1" applyBorder="1" applyAlignment="1">
      <alignment horizontal="left" vertical="center" wrapText="1"/>
    </xf>
    <xf numFmtId="0" fontId="0" fillId="3" borderId="5" xfId="0" applyFill="1" applyBorder="1" applyAlignment="1">
      <alignment horizontal="center" vertical="center"/>
    </xf>
    <xf numFmtId="49" fontId="0" fillId="3" borderId="5" xfId="0" applyNumberFormat="1" applyFill="1" applyBorder="1" applyAlignment="1">
      <alignment horizontal="center" vertical="center"/>
    </xf>
    <xf numFmtId="0" fontId="0" fillId="3" borderId="4" xfId="0" applyFill="1" applyBorder="1" applyAlignment="1">
      <alignment horizontal="center" vertical="center"/>
    </xf>
    <xf numFmtId="49" fontId="0" fillId="3" borderId="4" xfId="0" applyNumberFormat="1" applyFill="1" applyBorder="1" applyAlignment="1">
      <alignment horizontal="center" vertical="center"/>
    </xf>
    <xf numFmtId="0" fontId="0" fillId="3" borderId="9" xfId="0" applyFill="1" applyBorder="1" applyAlignment="1">
      <alignment horizontal="center" vertical="center"/>
    </xf>
    <xf numFmtId="49" fontId="0" fillId="3" borderId="9" xfId="0" applyNumberFormat="1" applyFill="1" applyBorder="1" applyAlignment="1">
      <alignment horizontal="center" vertical="center"/>
    </xf>
    <xf numFmtId="0" fontId="0" fillId="4" borderId="10" xfId="0" applyFill="1" applyBorder="1" applyAlignment="1">
      <alignment horizontal="center" vertical="center"/>
    </xf>
    <xf numFmtId="0" fontId="0" fillId="4" borderId="11" xfId="0" applyNumberFormat="1" applyFill="1" applyBorder="1" applyAlignment="1">
      <alignment horizontal="center" vertical="center"/>
    </xf>
    <xf numFmtId="0" fontId="0" fillId="4" borderId="12" xfId="0" applyNumberFormat="1" applyFill="1" applyBorder="1" applyAlignment="1">
      <alignment horizontal="center" vertical="center"/>
    </xf>
    <xf numFmtId="0" fontId="0" fillId="4" borderId="13" xfId="0" applyFill="1" applyBorder="1" applyAlignment="1">
      <alignment horizontal="center" vertical="center"/>
    </xf>
    <xf numFmtId="0" fontId="0" fillId="4" borderId="14" xfId="0" applyNumberFormat="1" applyFill="1" applyBorder="1" applyAlignment="1">
      <alignment horizontal="center" vertical="center"/>
    </xf>
    <xf numFmtId="0" fontId="0" fillId="4" borderId="15" xfId="0" applyNumberFormat="1" applyFill="1" applyBorder="1" applyAlignment="1">
      <alignment horizontal="center" vertical="center"/>
    </xf>
    <xf numFmtId="0" fontId="0" fillId="4" borderId="16" xfId="0" applyFill="1" applyBorder="1" applyAlignment="1">
      <alignment horizontal="center" vertical="center"/>
    </xf>
    <xf numFmtId="0" fontId="0" fillId="4" borderId="17" xfId="0" applyNumberFormat="1" applyFill="1" applyBorder="1" applyAlignment="1">
      <alignment horizontal="center" vertical="center"/>
    </xf>
    <xf numFmtId="0" fontId="0" fillId="4" borderId="18" xfId="0" applyNumberFormat="1" applyFill="1" applyBorder="1" applyAlignment="1">
      <alignment horizontal="center" vertical="center"/>
    </xf>
    <xf numFmtId="0" fontId="0" fillId="4" borderId="19" xfId="0" applyFill="1" applyBorder="1" applyAlignment="1">
      <alignment horizontal="center" vertical="center"/>
    </xf>
    <xf numFmtId="0" fontId="0" fillId="4" borderId="20" xfId="0" applyNumberFormat="1" applyFill="1" applyBorder="1" applyAlignment="1">
      <alignment horizontal="center" vertical="center"/>
    </xf>
    <xf numFmtId="0" fontId="0" fillId="4" borderId="21" xfId="0" applyNumberFormat="1" applyFill="1" applyBorder="1" applyAlignment="1">
      <alignment horizontal="center" vertical="center"/>
    </xf>
    <xf numFmtId="49" fontId="0" fillId="3" borderId="22" xfId="0" applyNumberFormat="1" applyFill="1" applyBorder="1" applyAlignment="1">
      <alignment horizontal="center" vertical="center"/>
    </xf>
    <xf numFmtId="0" fontId="0" fillId="6" borderId="10" xfId="0" applyFill="1" applyBorder="1" applyAlignment="1">
      <alignment horizontal="center" vertical="center"/>
    </xf>
    <xf numFmtId="0" fontId="0" fillId="6" borderId="23" xfId="0" applyNumberFormat="1" applyFill="1" applyBorder="1" applyAlignment="1">
      <alignment horizontal="center" vertical="center"/>
    </xf>
    <xf numFmtId="0" fontId="0" fillId="6" borderId="12" xfId="0" applyNumberFormat="1" applyFill="1" applyBorder="1" applyAlignment="1">
      <alignment horizontal="center" vertical="center"/>
    </xf>
    <xf numFmtId="0" fontId="3" fillId="11" borderId="3" xfId="0" applyFont="1" applyFill="1" applyBorder="1" applyAlignment="1">
      <alignment horizontal="left"/>
    </xf>
    <xf numFmtId="0" fontId="0" fillId="11" borderId="22" xfId="0" applyFill="1" applyBorder="1"/>
    <xf numFmtId="0" fontId="0" fillId="11" borderId="9" xfId="0" applyFill="1" applyBorder="1"/>
    <xf numFmtId="0" fontId="0" fillId="11" borderId="26" xfId="0" applyFill="1" applyBorder="1"/>
    <xf numFmtId="0" fontId="1" fillId="8" borderId="1" xfId="0" applyFont="1" applyFill="1" applyBorder="1" applyAlignment="1">
      <alignment horizontal="center" vertical="center"/>
    </xf>
    <xf numFmtId="0" fontId="1" fillId="12" borderId="1" xfId="0" applyFont="1" applyFill="1" applyBorder="1" applyAlignment="1">
      <alignment horizontal="center" vertical="center" wrapText="1"/>
    </xf>
    <xf numFmtId="0" fontId="11" fillId="11" borderId="24" xfId="0" applyFont="1" applyFill="1" applyBorder="1"/>
    <xf numFmtId="0" fontId="12" fillId="11" borderId="24" xfId="0" applyFont="1" applyFill="1" applyBorder="1"/>
    <xf numFmtId="0" fontId="12" fillId="11" borderId="25" xfId="0" applyFont="1" applyFill="1" applyBorder="1"/>
    <xf numFmtId="0" fontId="11" fillId="11" borderId="1" xfId="0" applyFont="1" applyFill="1" applyBorder="1" applyAlignment="1">
      <alignment horizontal="center" vertical="center"/>
    </xf>
    <xf numFmtId="0" fontId="12" fillId="11" borderId="9" xfId="0" applyFont="1" applyFill="1" applyBorder="1"/>
    <xf numFmtId="0" fontId="10" fillId="8" borderId="1" xfId="0" applyFont="1" applyFill="1" applyBorder="1" applyAlignment="1">
      <alignment horizontal="center" vertical="center"/>
    </xf>
    <xf numFmtId="0" fontId="12" fillId="11" borderId="21" xfId="0" applyFont="1" applyFill="1" applyBorder="1"/>
    <xf numFmtId="0" fontId="12" fillId="11" borderId="27" xfId="0" applyFont="1" applyFill="1" applyBorder="1"/>
    <xf numFmtId="0" fontId="0" fillId="0" borderId="0" xfId="0" applyAlignment="1">
      <alignment horizontal="center" vertical="center"/>
    </xf>
    <xf numFmtId="0" fontId="0" fillId="0" borderId="0" xfId="0" applyAlignment="1">
      <alignment horizontal="left" wrapText="1"/>
    </xf>
    <xf numFmtId="0" fontId="0" fillId="0" borderId="0" xfId="0" applyFont="1" applyAlignment="1">
      <alignment horizontal="left" vertical="center" wrapText="1"/>
    </xf>
    <xf numFmtId="165" fontId="0" fillId="0" borderId="0" xfId="0" applyNumberFormat="1" applyAlignment="1">
      <alignment horizontal="center" vertical="center"/>
    </xf>
    <xf numFmtId="0" fontId="0" fillId="13" borderId="1" xfId="0" applyFill="1" applyBorder="1" applyAlignment="1">
      <alignment horizontal="center" vertical="center"/>
    </xf>
    <xf numFmtId="0" fontId="0" fillId="13" borderId="1" xfId="0" applyFont="1" applyFill="1" applyBorder="1" applyAlignment="1">
      <alignment horizontal="left" vertical="center" wrapText="1"/>
    </xf>
    <xf numFmtId="165" fontId="0" fillId="13" borderId="1" xfId="0" applyNumberFormat="1" applyFill="1" applyBorder="1" applyAlignment="1">
      <alignment horizontal="center" vertical="center"/>
    </xf>
    <xf numFmtId="0" fontId="0" fillId="4" borderId="0" xfId="0" applyFill="1"/>
    <xf numFmtId="0" fontId="0" fillId="0" borderId="1" xfId="0" applyBorder="1" applyAlignment="1">
      <alignment horizontal="left" vertical="center" indent="1"/>
    </xf>
    <xf numFmtId="0" fontId="0" fillId="10" borderId="1" xfId="0" applyFill="1" applyBorder="1" applyAlignment="1">
      <alignment horizontal="center" vertical="center"/>
    </xf>
    <xf numFmtId="0" fontId="0" fillId="14" borderId="1" xfId="0" applyFill="1" applyBorder="1" applyAlignment="1">
      <alignment horizontal="center" vertical="center"/>
    </xf>
    <xf numFmtId="0" fontId="0" fillId="14" borderId="1" xfId="0" applyFont="1" applyFill="1" applyBorder="1" applyAlignment="1">
      <alignment horizontal="left" vertical="center" wrapText="1"/>
    </xf>
    <xf numFmtId="165" fontId="0" fillId="14" borderId="1" xfId="0" applyNumberFormat="1" applyFill="1" applyBorder="1" applyAlignment="1">
      <alignment horizontal="center" vertical="center"/>
    </xf>
    <xf numFmtId="0" fontId="0" fillId="14" borderId="1" xfId="0" applyFill="1" applyBorder="1"/>
    <xf numFmtId="0" fontId="0" fillId="7" borderId="1" xfId="0" applyFill="1" applyBorder="1" applyAlignment="1">
      <alignment horizontal="center" vertical="center"/>
    </xf>
    <xf numFmtId="0" fontId="0" fillId="7" borderId="1" xfId="0" applyFont="1" applyFill="1" applyBorder="1" applyAlignment="1">
      <alignment horizontal="left" vertical="center" wrapText="1"/>
    </xf>
    <xf numFmtId="165" fontId="0" fillId="7" borderId="1" xfId="0" applyNumberFormat="1" applyFill="1" applyBorder="1" applyAlignment="1">
      <alignment horizontal="center" vertical="center"/>
    </xf>
    <xf numFmtId="0" fontId="0" fillId="7" borderId="1" xfId="0" applyFill="1" applyBorder="1"/>
    <xf numFmtId="0" fontId="0" fillId="4" borderId="1" xfId="0" applyFill="1" applyBorder="1" applyAlignment="1">
      <alignment horizontal="center" vertical="center"/>
    </xf>
    <xf numFmtId="0" fontId="0" fillId="4" borderId="1" xfId="0" applyFont="1" applyFill="1" applyBorder="1" applyAlignment="1">
      <alignment horizontal="left" vertical="center" wrapText="1"/>
    </xf>
    <xf numFmtId="165" fontId="0" fillId="4" borderId="1" xfId="0" applyNumberFormat="1" applyFill="1" applyBorder="1" applyAlignment="1">
      <alignment horizontal="center" vertical="center"/>
    </xf>
    <xf numFmtId="0" fontId="0" fillId="4" borderId="1" xfId="0" applyFill="1" applyBorder="1"/>
    <xf numFmtId="0" fontId="0" fillId="8" borderId="1" xfId="0" applyFill="1" applyBorder="1" applyAlignment="1">
      <alignment horizontal="center" vertical="center"/>
    </xf>
    <xf numFmtId="0" fontId="0" fillId="8" borderId="1" xfId="0" applyFont="1" applyFill="1" applyBorder="1" applyAlignment="1">
      <alignment horizontal="left" vertical="center" wrapText="1"/>
    </xf>
    <xf numFmtId="165" fontId="0" fillId="8" borderId="1" xfId="0" applyNumberFormat="1" applyFill="1" applyBorder="1" applyAlignment="1">
      <alignment horizontal="center" vertical="center"/>
    </xf>
    <xf numFmtId="0" fontId="0" fillId="8" borderId="1" xfId="0" applyFill="1" applyBorder="1"/>
    <xf numFmtId="0" fontId="0" fillId="6" borderId="1" xfId="0" applyFill="1" applyBorder="1" applyAlignment="1">
      <alignment horizontal="center" vertical="center"/>
    </xf>
    <xf numFmtId="0" fontId="0" fillId="6" borderId="1" xfId="0" applyFont="1" applyFill="1" applyBorder="1" applyAlignment="1">
      <alignment horizontal="left" vertical="center" wrapText="1"/>
    </xf>
    <xf numFmtId="165" fontId="0" fillId="6" borderId="1" xfId="0" applyNumberFormat="1" applyFill="1" applyBorder="1" applyAlignment="1">
      <alignment horizontal="center" vertical="center"/>
    </xf>
    <xf numFmtId="0" fontId="0" fillId="6" borderId="1" xfId="0" applyFill="1" applyBorder="1"/>
    <xf numFmtId="0" fontId="0" fillId="15" borderId="22" xfId="0" applyFill="1" applyBorder="1"/>
    <xf numFmtId="0" fontId="0" fillId="15" borderId="24" xfId="0" applyFill="1" applyBorder="1"/>
    <xf numFmtId="0" fontId="0" fillId="15" borderId="25" xfId="0" applyFill="1" applyBorder="1"/>
    <xf numFmtId="0" fontId="0" fillId="15" borderId="2" xfId="0" applyFill="1" applyBorder="1"/>
    <xf numFmtId="0" fontId="0" fillId="15" borderId="0" xfId="0" applyFill="1" applyBorder="1"/>
    <xf numFmtId="0" fontId="0" fillId="15" borderId="0" xfId="0" applyFill="1" applyBorder="1" applyAlignment="1">
      <alignment vertical="center"/>
    </xf>
    <xf numFmtId="0" fontId="0" fillId="15" borderId="29" xfId="0" applyFill="1" applyBorder="1"/>
    <xf numFmtId="0" fontId="0" fillId="15" borderId="26" xfId="0" applyFill="1" applyBorder="1"/>
    <xf numFmtId="0" fontId="0" fillId="15" borderId="28" xfId="0" applyFill="1" applyBorder="1"/>
    <xf numFmtId="0" fontId="0" fillId="15" borderId="27" xfId="0" applyFill="1" applyBorder="1"/>
    <xf numFmtId="0" fontId="0" fillId="10" borderId="30" xfId="0" applyFill="1" applyBorder="1"/>
    <xf numFmtId="0" fontId="0" fillId="10" borderId="31" xfId="0" applyFill="1" applyBorder="1"/>
    <xf numFmtId="0" fontId="0" fillId="10" borderId="32" xfId="0" applyFill="1" applyBorder="1"/>
    <xf numFmtId="0" fontId="0" fillId="10" borderId="33" xfId="0" applyFill="1" applyBorder="1"/>
    <xf numFmtId="0" fontId="0" fillId="10" borderId="35" xfId="0" applyFill="1" applyBorder="1"/>
    <xf numFmtId="0" fontId="0" fillId="10" borderId="36" xfId="0" applyFill="1" applyBorder="1"/>
    <xf numFmtId="0" fontId="0" fillId="10" borderId="37" xfId="0" applyFill="1" applyBorder="1"/>
    <xf numFmtId="0" fontId="0" fillId="10" borderId="34" xfId="0" applyFill="1" applyBorder="1"/>
    <xf numFmtId="0" fontId="10" fillId="11" borderId="1" xfId="0" applyFont="1" applyFill="1" applyBorder="1" applyAlignment="1">
      <alignment horizontal="center" vertical="center" textRotation="90" wrapText="1"/>
    </xf>
    <xf numFmtId="0" fontId="13" fillId="12" borderId="1" xfId="0" applyFont="1" applyFill="1" applyBorder="1" applyAlignment="1">
      <alignment horizontal="left" vertical="center"/>
    </xf>
    <xf numFmtId="0" fontId="13" fillId="12" borderId="1" xfId="0" applyFont="1" applyFill="1" applyBorder="1" applyAlignment="1"/>
    <xf numFmtId="0" fontId="14" fillId="10" borderId="1" xfId="0" applyFont="1" applyFill="1" applyBorder="1" applyAlignment="1">
      <alignment horizontal="center" vertical="center"/>
    </xf>
    <xf numFmtId="0" fontId="15" fillId="0" borderId="1" xfId="0" applyFont="1" applyFill="1" applyBorder="1" applyAlignment="1"/>
    <xf numFmtId="0" fontId="0" fillId="0" borderId="1" xfId="0" applyFill="1" applyBorder="1" applyAlignment="1"/>
    <xf numFmtId="0" fontId="16" fillId="10" borderId="28" xfId="0" applyFont="1" applyFill="1" applyBorder="1" applyAlignment="1"/>
  </cellXfs>
  <cellStyles count="2">
    <cellStyle name="Hyperlink" xfId="1" builtinId="8"/>
    <cellStyle name="Normal" xfId="0" builtinId="0"/>
  </cellStyles>
  <dxfs count="5">
    <dxf>
      <font>
        <b/>
        <i val="0"/>
      </font>
      <fill>
        <patternFill>
          <bgColor rgb="FF92D050"/>
        </patternFill>
      </fill>
    </dxf>
    <dxf>
      <fill>
        <patternFill>
          <bgColor rgb="FFFF0000"/>
        </patternFill>
      </fill>
    </dxf>
    <dxf>
      <font>
        <b/>
        <i val="0"/>
      </font>
      <fill>
        <patternFill>
          <bgColor rgb="FF92D050"/>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A247"/>
  <sheetViews>
    <sheetView workbookViewId="0">
      <selection activeCell="AP8" sqref="AP8"/>
    </sheetView>
  </sheetViews>
  <sheetFormatPr defaultRowHeight="15" x14ac:dyDescent="0.25"/>
  <cols>
    <col min="1" max="3" width="9.140625" customWidth="1"/>
    <col min="4" max="7" width="9.140625" hidden="1" customWidth="1"/>
    <col min="8" max="8" width="9.140625" customWidth="1"/>
    <col min="9" max="9" width="12.5703125" style="17" customWidth="1"/>
    <col min="10" max="10" width="27.7109375" customWidth="1"/>
    <col min="11" max="11" width="19.85546875" customWidth="1"/>
    <col min="12" max="12" width="59.140625" customWidth="1"/>
    <col min="13" max="13" width="12" style="1" hidden="1" customWidth="1"/>
    <col min="14" max="14" width="17.28515625" hidden="1" customWidth="1"/>
    <col min="15" max="15" width="11.140625" hidden="1" customWidth="1"/>
    <col min="16" max="17" width="9.140625" hidden="1" customWidth="1"/>
    <col min="18" max="18" width="41.85546875" style="17" hidden="1" customWidth="1"/>
    <col min="19" max="19" width="12.7109375" hidden="1" customWidth="1"/>
    <col min="20" max="20" width="19.28515625" style="17" hidden="1" customWidth="1"/>
    <col min="21" max="21" width="20" style="17" hidden="1" customWidth="1"/>
    <col min="22" max="23" width="9.140625" hidden="1" customWidth="1"/>
    <col min="24" max="25" width="17.28515625" hidden="1" customWidth="1"/>
    <col min="26" max="27" width="12" hidden="1" customWidth="1"/>
    <col min="28" max="31" width="9.140625" hidden="1" customWidth="1"/>
    <col min="32" max="32" width="11" hidden="1" customWidth="1"/>
    <col min="33" max="33" width="16" style="51" hidden="1" customWidth="1"/>
    <col min="34" max="34" width="9.140625" style="51" hidden="1" customWidth="1"/>
    <col min="35" max="35" width="9.140625" hidden="1" customWidth="1"/>
    <col min="36" max="36" width="1.85546875" customWidth="1"/>
    <col min="37" max="52" width="6.42578125" customWidth="1"/>
    <col min="53" max="53" width="1.85546875" customWidth="1"/>
  </cols>
  <sheetData>
    <row r="1" spans="1:53" x14ac:dyDescent="0.25">
      <c r="A1" t="s">
        <v>211</v>
      </c>
      <c r="B1" t="s">
        <v>212</v>
      </c>
      <c r="C1" t="s">
        <v>415</v>
      </c>
      <c r="D1" t="s">
        <v>213</v>
      </c>
      <c r="E1" t="s">
        <v>214</v>
      </c>
      <c r="F1" t="s">
        <v>416</v>
      </c>
      <c r="G1" t="s">
        <v>417</v>
      </c>
      <c r="Q1" s="35" t="s">
        <v>246</v>
      </c>
      <c r="R1" s="36"/>
      <c r="S1" s="39" t="s">
        <v>249</v>
      </c>
      <c r="T1" s="40"/>
      <c r="U1" s="40"/>
      <c r="V1" s="39"/>
      <c r="W1" s="39" t="s">
        <v>32</v>
      </c>
      <c r="X1" s="39" t="s">
        <v>250</v>
      </c>
      <c r="Y1" s="39" t="s">
        <v>253</v>
      </c>
      <c r="Z1" s="39" t="s">
        <v>251</v>
      </c>
      <c r="AA1" s="39" t="s">
        <v>252</v>
      </c>
      <c r="AB1" s="39" t="s">
        <v>254</v>
      </c>
      <c r="AC1" s="39" t="s">
        <v>255</v>
      </c>
      <c r="AD1" s="39"/>
      <c r="AE1" s="39"/>
      <c r="AF1" s="39" t="s">
        <v>6</v>
      </c>
      <c r="AG1" s="52" t="s">
        <v>269</v>
      </c>
      <c r="AH1" s="52" t="str">
        <f>DEC2HEX(VLOOKUP(L15,AG2:AH129,2,FALSE))</f>
        <v>0</v>
      </c>
      <c r="AI1" s="76" t="str">
        <f>CONCATENATE(0,AH1)</f>
        <v>00</v>
      </c>
      <c r="AJ1" s="77"/>
      <c r="AK1" s="82" t="s">
        <v>397</v>
      </c>
      <c r="AL1" s="83"/>
      <c r="AM1" s="83"/>
      <c r="AN1" s="83"/>
      <c r="AO1" s="83"/>
      <c r="AP1" s="83"/>
      <c r="AQ1" s="83"/>
      <c r="AR1" s="83"/>
      <c r="AS1" s="83"/>
      <c r="AT1" s="83"/>
      <c r="AU1" s="83"/>
      <c r="AV1" s="83"/>
      <c r="AW1" s="83"/>
      <c r="AX1" s="83"/>
      <c r="AY1" s="83"/>
      <c r="AZ1" s="83"/>
      <c r="BA1" s="84"/>
    </row>
    <row r="2" spans="1:53" ht="45" x14ac:dyDescent="0.3">
      <c r="A2" s="2" t="s">
        <v>0</v>
      </c>
      <c r="B2" s="3" t="s">
        <v>24</v>
      </c>
      <c r="C2" s="3" t="s">
        <v>24</v>
      </c>
      <c r="D2" s="33">
        <f>HEX2DEC(RIGHT(B2,2))</f>
        <v>2</v>
      </c>
      <c r="E2" s="33"/>
      <c r="F2" s="33">
        <f>HEX2DEC(RIGHT(C2))</f>
        <v>2</v>
      </c>
      <c r="G2" s="33"/>
      <c r="I2" s="81" t="s">
        <v>411</v>
      </c>
      <c r="J2" s="139" t="str">
        <f>CONCATENATE(B2,B3,B4,B5,B6,B7,B8,B9,B10,B11,B12,B13,B14,B15,B16,B17,B18,B19,B20,B21,B22,B23,B24,B25)</f>
        <v>$02$16$00$00$00$00$00$00$00$00$00$04$01$00$00$00$00$00$00$00$00$00$00$11</v>
      </c>
      <c r="K2" s="140"/>
      <c r="L2" s="140"/>
      <c r="M2" s="140"/>
      <c r="N2" s="140"/>
      <c r="O2" s="140"/>
      <c r="Q2" s="37">
        <v>0</v>
      </c>
      <c r="R2" s="38" t="s">
        <v>236</v>
      </c>
      <c r="S2" s="39" t="str">
        <f t="shared" ref="S2:S16" si="0">IFERROR(INDEX(T21:T208,MATCH(T2,U21:U208,0)),"")</f>
        <v/>
      </c>
      <c r="T2" s="41" t="str">
        <f>IFERROR(INDEX($U$21:$U$208, SMALL(IF($R$19=$R$21:$R$208, ROW($R$21:$R$208)-ROW($R$21)+1), ROW(1:1))),"00")</f>
        <v>00</v>
      </c>
      <c r="U2" s="40"/>
      <c r="V2" s="39"/>
      <c r="W2" s="39" t="str">
        <f>IFERROR(DEC2BIN(S2),"")</f>
        <v/>
      </c>
      <c r="X2" s="42" t="str">
        <f>IFERROR(VALUE(W2),"")</f>
        <v/>
      </c>
      <c r="Y2" s="42" t="str">
        <f>TEXT(X2,"0000000000000000")</f>
        <v/>
      </c>
      <c r="Z2" s="39" t="str">
        <f>LEFT(Y2,8)</f>
        <v/>
      </c>
      <c r="AA2" s="39" t="str">
        <f>+RIGHT(Y2,8)</f>
        <v/>
      </c>
      <c r="AB2" s="39" t="str">
        <f>+BIN2HEX(Z2)</f>
        <v>0</v>
      </c>
      <c r="AC2" s="39" t="str">
        <f>BIN2HEX(AA2)</f>
        <v>0</v>
      </c>
      <c r="AD2" s="39" t="str">
        <f>CONCATENATE(0,AB2)</f>
        <v>00</v>
      </c>
      <c r="AE2" s="39" t="str">
        <f>CONCATENATE(0,AC2)</f>
        <v>00</v>
      </c>
      <c r="AF2" s="39" t="str">
        <f>IF(AA2="","$00",CONCATENATE("$",RIGHT(AE2,2)))</f>
        <v>$00</v>
      </c>
      <c r="AG2" s="52" t="s">
        <v>396</v>
      </c>
      <c r="AH2" s="53">
        <v>0</v>
      </c>
      <c r="AJ2" s="78"/>
      <c r="AK2" s="85">
        <v>15</v>
      </c>
      <c r="AL2" s="85">
        <v>14</v>
      </c>
      <c r="AM2" s="85">
        <v>13</v>
      </c>
      <c r="AN2" s="85">
        <v>12</v>
      </c>
      <c r="AO2" s="85">
        <v>11</v>
      </c>
      <c r="AP2" s="85">
        <v>10</v>
      </c>
      <c r="AQ2" s="85">
        <v>9</v>
      </c>
      <c r="AR2" s="85">
        <v>8</v>
      </c>
      <c r="AS2" s="85">
        <v>7</v>
      </c>
      <c r="AT2" s="85">
        <v>6</v>
      </c>
      <c r="AU2" s="85">
        <v>5</v>
      </c>
      <c r="AV2" s="85">
        <v>4</v>
      </c>
      <c r="AW2" s="85">
        <v>3</v>
      </c>
      <c r="AX2" s="85">
        <v>2</v>
      </c>
      <c r="AY2" s="85">
        <v>1</v>
      </c>
      <c r="AZ2" s="85">
        <v>0</v>
      </c>
      <c r="BA2" s="86"/>
    </row>
    <row r="3" spans="1:53" ht="150" customHeight="1" x14ac:dyDescent="0.3">
      <c r="A3" s="2" t="s">
        <v>1</v>
      </c>
      <c r="B3" s="3" t="s">
        <v>25</v>
      </c>
      <c r="C3" s="3" t="s">
        <v>25</v>
      </c>
      <c r="D3" s="33">
        <f t="shared" ref="D3:D24" si="1">HEX2DEC(RIGHT(B3,2))</f>
        <v>22</v>
      </c>
      <c r="E3">
        <f>_xlfn.BITXOR(D2,D3)</f>
        <v>20</v>
      </c>
      <c r="F3" s="33">
        <f>HEX2DEC(RIGHT(C3,2))</f>
        <v>22</v>
      </c>
      <c r="G3">
        <f>_xlfn.BITXOR(F2,F3)</f>
        <v>20</v>
      </c>
      <c r="I3" s="81" t="s">
        <v>412</v>
      </c>
      <c r="J3" s="139" t="str">
        <f>IFERROR(CONCATENATE(C2,C3,C4,C5,C6,C7,C8,C9,C10,C11,C12,C13,C14,C15,C16,C17,C18,C19,C20,C21,C22,C23,C24,C25), "No ASCII Parameter Value Set")</f>
        <v>$02$16$00$00$00$00$00$00$00$00$00$04$01$00$00$00$00$00$00$00$00$00$00$11</v>
      </c>
      <c r="K3" s="140"/>
      <c r="L3" s="140"/>
      <c r="M3" s="140"/>
      <c r="N3" s="140"/>
      <c r="O3" s="140"/>
      <c r="Q3" s="37">
        <v>1</v>
      </c>
      <c r="R3" s="38" t="s">
        <v>237</v>
      </c>
      <c r="S3" s="39" t="str">
        <f t="shared" si="0"/>
        <v/>
      </c>
      <c r="T3" s="41" t="str">
        <f t="array" ref="T3">IFERROR(INDEX($U$21:$U$208, SMALL(IF($R$19=$R$21:$R$208, ROW($R$21:$R$208)-ROW($R$21)+1), ROW(2:2))),"")</f>
        <v/>
      </c>
      <c r="U3" s="40"/>
      <c r="V3" s="39"/>
      <c r="W3" s="39" t="str">
        <f t="shared" ref="W3:W17" si="2">IFERROR(DEC2BIN(S3),"")</f>
        <v/>
      </c>
      <c r="X3" s="42" t="str">
        <f t="shared" ref="X3:X17" si="3">IFERROR(VALUE(W3),"")</f>
        <v/>
      </c>
      <c r="Y3" s="42" t="str">
        <f t="shared" ref="Y3:Y17" si="4">TEXT(X3,"0000000000000000")</f>
        <v/>
      </c>
      <c r="Z3" s="39" t="str">
        <f t="shared" ref="Z3:Z17" si="5">LEFT(Y3,8)</f>
        <v/>
      </c>
      <c r="AA3" s="39" t="str">
        <f t="shared" ref="AA3:AA17" si="6">+RIGHT(Y3,8)</f>
        <v/>
      </c>
      <c r="AB3" s="39" t="str">
        <f t="shared" ref="AB3:AB17" si="7">+BIN2HEX(Z3)</f>
        <v>0</v>
      </c>
      <c r="AC3" s="39" t="str">
        <f t="shared" ref="AC3:AC17" si="8">BIN2HEX(AA3)</f>
        <v>0</v>
      </c>
      <c r="AD3" s="39" t="str">
        <f t="shared" ref="AD3:AD17" si="9">CONCATENATE(0,AB3)</f>
        <v>00</v>
      </c>
      <c r="AE3" s="39" t="str">
        <f t="shared" ref="AE3:AE17" si="10">CONCATENATE(0,AC3)</f>
        <v>00</v>
      </c>
      <c r="AF3" s="39" t="str">
        <f t="shared" ref="AF3:AF17" si="11">IF(AA3="","",CONCATENATE("$",RIGHT(AE3,2)))</f>
        <v/>
      </c>
      <c r="AG3" s="53" t="s">
        <v>270</v>
      </c>
      <c r="AH3" s="53">
        <v>1</v>
      </c>
      <c r="AJ3" s="78"/>
      <c r="AK3" s="138" t="s">
        <v>398</v>
      </c>
      <c r="AL3" s="138" t="s">
        <v>399</v>
      </c>
      <c r="AM3" s="138" t="s">
        <v>400</v>
      </c>
      <c r="AN3" s="138" t="s">
        <v>401</v>
      </c>
      <c r="AO3" s="138" t="s">
        <v>402</v>
      </c>
      <c r="AP3" s="138" t="s">
        <v>403</v>
      </c>
      <c r="AQ3" s="138" t="s">
        <v>404</v>
      </c>
      <c r="AR3" s="138" t="s">
        <v>405</v>
      </c>
      <c r="AS3" s="138" t="s">
        <v>406</v>
      </c>
      <c r="AT3" s="138" t="s">
        <v>407</v>
      </c>
      <c r="AU3" s="138" t="s">
        <v>408</v>
      </c>
      <c r="AV3" s="138" t="s">
        <v>404</v>
      </c>
      <c r="AW3" s="138" t="s">
        <v>404</v>
      </c>
      <c r="AX3" s="138" t="s">
        <v>404</v>
      </c>
      <c r="AY3" s="138" t="s">
        <v>404</v>
      </c>
      <c r="AZ3" s="138" t="s">
        <v>409</v>
      </c>
      <c r="BA3" s="86"/>
    </row>
    <row r="4" spans="1:53" ht="30.75" thickBot="1" x14ac:dyDescent="0.3">
      <c r="A4" s="56" t="s">
        <v>2</v>
      </c>
      <c r="B4" s="57" t="s">
        <v>26</v>
      </c>
      <c r="C4" s="57" t="s">
        <v>26</v>
      </c>
      <c r="D4" s="33">
        <f t="shared" si="1"/>
        <v>0</v>
      </c>
      <c r="E4">
        <f>_xlfn.BITXOR(D4,E3)</f>
        <v>20</v>
      </c>
      <c r="F4" s="33">
        <f t="shared" ref="F4:F24" si="12">HEX2DEC(RIGHT(C4))</f>
        <v>0</v>
      </c>
      <c r="G4">
        <f>_xlfn.BITXOR(F4,G3)</f>
        <v>20</v>
      </c>
      <c r="I4" s="18" t="s">
        <v>27</v>
      </c>
      <c r="J4" s="6"/>
      <c r="K4" s="6"/>
      <c r="L4" s="6"/>
      <c r="M4" s="7"/>
      <c r="N4" s="6"/>
      <c r="O4" s="6"/>
      <c r="Q4" s="37">
        <v>2</v>
      </c>
      <c r="R4" s="38" t="s">
        <v>238</v>
      </c>
      <c r="S4" s="39" t="str">
        <f t="shared" si="0"/>
        <v/>
      </c>
      <c r="T4" s="41" t="str">
        <f t="array" ref="T4">IFERROR(INDEX($U$21:$U$208, SMALL(IF($R$19=$R$21:$R$208, ROW($R$21:$R$208)-ROW($R$21)+1), ROW(3:3))),"")</f>
        <v/>
      </c>
      <c r="U4" s="40"/>
      <c r="V4" s="39"/>
      <c r="W4" s="39" t="str">
        <f t="shared" si="2"/>
        <v/>
      </c>
      <c r="X4" s="42" t="str">
        <f t="shared" si="3"/>
        <v/>
      </c>
      <c r="Y4" s="42" t="str">
        <f t="shared" si="4"/>
        <v/>
      </c>
      <c r="Z4" s="39" t="str">
        <f t="shared" si="5"/>
        <v/>
      </c>
      <c r="AA4" s="39" t="str">
        <f t="shared" si="6"/>
        <v/>
      </c>
      <c r="AB4" s="39" t="str">
        <f t="shared" si="7"/>
        <v>0</v>
      </c>
      <c r="AC4" s="39" t="str">
        <f t="shared" si="8"/>
        <v>0</v>
      </c>
      <c r="AD4" s="39" t="str">
        <f t="shared" si="9"/>
        <v>00</v>
      </c>
      <c r="AE4" s="39" t="str">
        <f t="shared" si="10"/>
        <v>00</v>
      </c>
      <c r="AF4" s="39" t="str">
        <f t="shared" si="11"/>
        <v/>
      </c>
      <c r="AG4" s="53" t="s">
        <v>271</v>
      </c>
      <c r="AH4" s="53">
        <v>2</v>
      </c>
      <c r="AJ4" s="78"/>
      <c r="AK4" s="87">
        <v>0</v>
      </c>
      <c r="AL4" s="87">
        <v>0</v>
      </c>
      <c r="AM4" s="87">
        <v>0</v>
      </c>
      <c r="AN4" s="87">
        <v>0</v>
      </c>
      <c r="AO4" s="87">
        <v>0</v>
      </c>
      <c r="AP4" s="87">
        <v>1</v>
      </c>
      <c r="AQ4" s="87">
        <v>0</v>
      </c>
      <c r="AR4" s="87">
        <v>0</v>
      </c>
      <c r="AS4" s="87">
        <v>0</v>
      </c>
      <c r="AT4" s="87">
        <v>0</v>
      </c>
      <c r="AU4" s="87">
        <v>0</v>
      </c>
      <c r="AV4" s="87">
        <v>0</v>
      </c>
      <c r="AW4" s="87">
        <v>0</v>
      </c>
      <c r="AX4" s="87">
        <v>0</v>
      </c>
      <c r="AY4" s="87">
        <v>0</v>
      </c>
      <c r="AZ4" s="87">
        <v>1</v>
      </c>
      <c r="BA4" s="86"/>
    </row>
    <row r="5" spans="1:53" ht="30.75" thickTop="1" x14ac:dyDescent="0.25">
      <c r="A5" s="63" t="s">
        <v>3</v>
      </c>
      <c r="B5" s="64" t="str">
        <f>CONCATENATE("$",M10)</f>
        <v>$00</v>
      </c>
      <c r="C5" s="65" t="str">
        <f>CONCATENATE("$",M10)</f>
        <v>$00</v>
      </c>
      <c r="D5" s="33">
        <f t="shared" si="1"/>
        <v>0</v>
      </c>
      <c r="E5">
        <f>_xlfn.BITXOR(D5,E4)</f>
        <v>20</v>
      </c>
      <c r="F5" s="33">
        <f t="shared" si="12"/>
        <v>0</v>
      </c>
      <c r="G5">
        <f t="shared" ref="G5:G25" si="13">_xlfn.BITXOR(F5,G4)</f>
        <v>20</v>
      </c>
      <c r="I5" s="18"/>
      <c r="J5" s="6"/>
      <c r="K5" s="6"/>
      <c r="L5" s="6"/>
      <c r="M5" s="7"/>
      <c r="N5" s="6"/>
      <c r="O5" s="6"/>
      <c r="Q5" s="37">
        <v>3</v>
      </c>
      <c r="R5" s="38" t="s">
        <v>239</v>
      </c>
      <c r="S5" s="39" t="str">
        <f t="shared" si="0"/>
        <v/>
      </c>
      <c r="T5" s="41" t="str">
        <f t="array" ref="T5">IFERROR(INDEX($U$21:$U$208, SMALL(IF($R$19=$R$21:$R$208, ROW($R$21:$R$208)-ROW($R$21)+1), ROW(4:4))),"")</f>
        <v/>
      </c>
      <c r="U5" s="40"/>
      <c r="V5" s="39"/>
      <c r="W5" s="39" t="str">
        <f t="shared" si="2"/>
        <v/>
      </c>
      <c r="X5" s="42" t="str">
        <f t="shared" si="3"/>
        <v/>
      </c>
      <c r="Y5" s="42" t="str">
        <f t="shared" si="4"/>
        <v/>
      </c>
      <c r="Z5" s="39" t="str">
        <f t="shared" si="5"/>
        <v/>
      </c>
      <c r="AA5" s="39" t="str">
        <f t="shared" si="6"/>
        <v/>
      </c>
      <c r="AB5" s="39" t="str">
        <f t="shared" si="7"/>
        <v>0</v>
      </c>
      <c r="AC5" s="39" t="str">
        <f t="shared" si="8"/>
        <v>0</v>
      </c>
      <c r="AD5" s="39" t="str">
        <f t="shared" si="9"/>
        <v>00</v>
      </c>
      <c r="AE5" s="39" t="str">
        <f t="shared" si="10"/>
        <v>00</v>
      </c>
      <c r="AF5" s="39" t="str">
        <f t="shared" si="11"/>
        <v/>
      </c>
      <c r="AG5" s="53" t="s">
        <v>272</v>
      </c>
      <c r="AH5" s="53">
        <v>3</v>
      </c>
      <c r="AJ5" s="79"/>
      <c r="AK5" s="88"/>
      <c r="AL5" s="88"/>
      <c r="AM5" s="88"/>
      <c r="AN5" s="88"/>
      <c r="AO5" s="88"/>
      <c r="AP5" s="88"/>
      <c r="AQ5" s="88"/>
      <c r="AR5" s="88"/>
      <c r="AS5" s="88"/>
      <c r="AT5" s="88"/>
      <c r="AU5" s="88"/>
      <c r="AV5" s="88"/>
      <c r="AW5" s="88"/>
      <c r="AX5" s="88"/>
      <c r="AY5" s="88"/>
      <c r="AZ5" s="88"/>
      <c r="BA5" s="89"/>
    </row>
    <row r="6" spans="1:53" ht="23.25" thickBot="1" x14ac:dyDescent="0.3">
      <c r="A6" s="66" t="s">
        <v>4</v>
      </c>
      <c r="B6" s="67" t="str">
        <f>CONCATENATE("$",N10)</f>
        <v>$00</v>
      </c>
      <c r="C6" s="68" t="str">
        <f>CONCATENATE("$",N10)</f>
        <v>$00</v>
      </c>
      <c r="D6" s="33">
        <f t="shared" si="1"/>
        <v>0</v>
      </c>
      <c r="E6">
        <f>_xlfn.BITXOR(D6,E5)</f>
        <v>20</v>
      </c>
      <c r="F6" s="33">
        <f t="shared" si="12"/>
        <v>0</v>
      </c>
      <c r="G6">
        <f t="shared" si="13"/>
        <v>20</v>
      </c>
      <c r="I6" s="19" t="s">
        <v>28</v>
      </c>
      <c r="J6" s="8">
        <v>11</v>
      </c>
      <c r="K6" s="8" t="s">
        <v>29</v>
      </c>
      <c r="L6" s="8" t="s">
        <v>30</v>
      </c>
      <c r="M6" s="7" t="s">
        <v>3</v>
      </c>
      <c r="N6" s="9" t="s">
        <v>51</v>
      </c>
      <c r="O6" s="6"/>
      <c r="Q6" s="37">
        <v>4</v>
      </c>
      <c r="R6" s="38" t="s">
        <v>245</v>
      </c>
      <c r="S6" s="39" t="str">
        <f t="shared" si="0"/>
        <v/>
      </c>
      <c r="T6" s="41" t="str">
        <f t="array" ref="T6">IFERROR(INDEX($U$21:$U$208, SMALL(IF($R$19=$R$21:$R$208, ROW($R$21:$R$208)-ROW($R$21)+1), ROW(5:5))),"")</f>
        <v/>
      </c>
      <c r="U6" s="40"/>
      <c r="V6" s="39"/>
      <c r="W6" s="39" t="str">
        <f t="shared" si="2"/>
        <v/>
      </c>
      <c r="X6" s="42" t="str">
        <f t="shared" si="3"/>
        <v/>
      </c>
      <c r="Y6" s="42" t="str">
        <f t="shared" si="4"/>
        <v/>
      </c>
      <c r="Z6" s="39" t="str">
        <f t="shared" si="5"/>
        <v/>
      </c>
      <c r="AA6" s="39" t="str">
        <f t="shared" si="6"/>
        <v/>
      </c>
      <c r="AB6" s="39" t="str">
        <f t="shared" si="7"/>
        <v>0</v>
      </c>
      <c r="AC6" s="39" t="str">
        <f t="shared" si="8"/>
        <v>0</v>
      </c>
      <c r="AD6" s="39" t="str">
        <f t="shared" si="9"/>
        <v>00</v>
      </c>
      <c r="AE6" s="39" t="str">
        <f t="shared" si="10"/>
        <v>00</v>
      </c>
      <c r="AF6" s="39" t="str">
        <f t="shared" si="11"/>
        <v/>
      </c>
      <c r="AG6" s="53" t="s">
        <v>273</v>
      </c>
      <c r="AH6" s="53">
        <v>4</v>
      </c>
      <c r="AK6" t="str">
        <f>CONCATENATE(AK4,AL4,AM4,AN4,AO4,AP4,AQ4,AR4,AS4,AT4,AU4,AV4,AW4,AX4,AY4,AZ4)</f>
        <v>0000010000000001</v>
      </c>
    </row>
    <row r="7" spans="1:53" ht="17.25" thickTop="1" thickBot="1" x14ac:dyDescent="0.3">
      <c r="A7" s="58" t="s">
        <v>5</v>
      </c>
      <c r="B7" s="59" t="s">
        <v>26</v>
      </c>
      <c r="C7" s="59" t="s">
        <v>26</v>
      </c>
      <c r="D7" s="33">
        <f t="shared" si="1"/>
        <v>0</v>
      </c>
      <c r="E7">
        <f>_xlfn.BITXOR(D7,E6)</f>
        <v>20</v>
      </c>
      <c r="F7" s="33">
        <f t="shared" si="12"/>
        <v>0</v>
      </c>
      <c r="G7">
        <f t="shared" si="13"/>
        <v>20</v>
      </c>
      <c r="I7" s="20" t="str">
        <f>VLOOKUP(L11,I10:J17,2,FALSE)</f>
        <v>0000</v>
      </c>
      <c r="J7" s="11">
        <v>0</v>
      </c>
      <c r="K7" s="10" t="str">
        <f>VLOOKUP(L12,I21:O128,6,FALSE)</f>
        <v>000</v>
      </c>
      <c r="L7" s="10" t="str">
        <f>VLOOKUP(L12,I21:O128,7,FALSE)</f>
        <v>00000000</v>
      </c>
      <c r="M7" s="12" t="str">
        <f>CONCATENATE(I7,J7,K7)</f>
        <v>00000000</v>
      </c>
      <c r="N7" s="12" t="str">
        <f>+L7</f>
        <v>00000000</v>
      </c>
      <c r="O7" s="6"/>
      <c r="Q7" s="37">
        <v>5</v>
      </c>
      <c r="R7" s="38" t="s">
        <v>245</v>
      </c>
      <c r="S7" s="39" t="str">
        <f t="shared" si="0"/>
        <v/>
      </c>
      <c r="T7" s="41" t="str">
        <f t="array" ref="T7">IFERROR(INDEX($U$21:$U$208, SMALL(IF($R$19=$R$21:$R$208, ROW($R$21:$R$208)-ROW($R$21)+1), ROW(6:6))),"")</f>
        <v/>
      </c>
      <c r="U7" s="40"/>
      <c r="V7" s="39"/>
      <c r="W7" s="39" t="str">
        <f t="shared" si="2"/>
        <v/>
      </c>
      <c r="X7" s="42" t="str">
        <f t="shared" si="3"/>
        <v/>
      </c>
      <c r="Y7" s="42" t="str">
        <f t="shared" si="4"/>
        <v/>
      </c>
      <c r="Z7" s="39" t="str">
        <f t="shared" si="5"/>
        <v/>
      </c>
      <c r="AA7" s="39" t="str">
        <f t="shared" si="6"/>
        <v/>
      </c>
      <c r="AB7" s="39" t="str">
        <f t="shared" si="7"/>
        <v>0</v>
      </c>
      <c r="AC7" s="39" t="str">
        <f t="shared" si="8"/>
        <v>0</v>
      </c>
      <c r="AD7" s="39" t="str">
        <f t="shared" si="9"/>
        <v>00</v>
      </c>
      <c r="AE7" s="39" t="str">
        <f t="shared" si="10"/>
        <v>00</v>
      </c>
      <c r="AF7" s="39" t="str">
        <f t="shared" si="11"/>
        <v/>
      </c>
      <c r="AG7" s="53" t="s">
        <v>274</v>
      </c>
      <c r="AH7" s="53">
        <v>5</v>
      </c>
      <c r="AK7" t="str">
        <f>LEFT(AK6,8)</f>
        <v>00000100</v>
      </c>
      <c r="AL7" t="str">
        <f>RIGHT(AK6,8)</f>
        <v>00000001</v>
      </c>
    </row>
    <row r="8" spans="1:53" ht="31.5" thickTop="1" thickBot="1" x14ac:dyDescent="0.3">
      <c r="A8" s="60" t="s">
        <v>6</v>
      </c>
      <c r="B8" s="61" t="str">
        <f>VLOOKUP(L13,T2:AF16,13, FALSE)</f>
        <v>$00</v>
      </c>
      <c r="C8" s="62" t="str">
        <f>VLOOKUP(L13,T2:AF16,13, FALSE)</f>
        <v>$00</v>
      </c>
      <c r="D8" s="33">
        <f t="shared" si="1"/>
        <v>0</v>
      </c>
      <c r="E8">
        <f t="shared" ref="E8:E24" si="14">_xlfn.BITXOR(D8,E7)</f>
        <v>20</v>
      </c>
      <c r="F8" s="33">
        <f t="shared" si="12"/>
        <v>0</v>
      </c>
      <c r="G8">
        <f t="shared" si="13"/>
        <v>20</v>
      </c>
      <c r="I8" s="18"/>
      <c r="J8" s="6"/>
      <c r="K8" s="6"/>
      <c r="L8" s="13" t="s">
        <v>52</v>
      </c>
      <c r="M8" s="14" t="str">
        <f>BIN2HEX(M7)</f>
        <v>0</v>
      </c>
      <c r="N8" s="14" t="str">
        <f>BIN2HEX(N7)</f>
        <v>0</v>
      </c>
      <c r="O8" s="6"/>
      <c r="Q8" s="37">
        <v>6</v>
      </c>
      <c r="R8" s="38" t="s">
        <v>240</v>
      </c>
      <c r="S8" s="39" t="str">
        <f t="shared" si="0"/>
        <v/>
      </c>
      <c r="T8" s="41" t="str">
        <f t="array" ref="T8">IFERROR(INDEX($U$21:$U$208, SMALL(IF($R$19=$R$21:$R$208, ROW($R$21:$R$208)-ROW($R$21)+1), ROW(7:7))),"")</f>
        <v/>
      </c>
      <c r="U8" s="40"/>
      <c r="V8" s="39"/>
      <c r="W8" s="39" t="str">
        <f t="shared" si="2"/>
        <v/>
      </c>
      <c r="X8" s="42" t="str">
        <f t="shared" si="3"/>
        <v/>
      </c>
      <c r="Y8" s="42" t="str">
        <f t="shared" si="4"/>
        <v/>
      </c>
      <c r="Z8" s="39" t="str">
        <f t="shared" si="5"/>
        <v/>
      </c>
      <c r="AA8" s="39" t="str">
        <f t="shared" si="6"/>
        <v/>
      </c>
      <c r="AB8" s="39" t="str">
        <f t="shared" si="7"/>
        <v>0</v>
      </c>
      <c r="AC8" s="39" t="str">
        <f t="shared" si="8"/>
        <v>0</v>
      </c>
      <c r="AD8" s="39" t="str">
        <f t="shared" si="9"/>
        <v>00</v>
      </c>
      <c r="AE8" s="39" t="str">
        <f t="shared" si="10"/>
        <v>00</v>
      </c>
      <c r="AF8" s="39" t="str">
        <f t="shared" si="11"/>
        <v/>
      </c>
      <c r="AG8" s="53" t="s">
        <v>275</v>
      </c>
      <c r="AH8" s="53">
        <v>6</v>
      </c>
      <c r="AK8" t="str">
        <f>BIN2HEX(AK7,2)</f>
        <v>04</v>
      </c>
      <c r="AL8" t="str">
        <f>BIN2HEX(AL7,2)</f>
        <v>01</v>
      </c>
    </row>
    <row r="9" spans="1:53" ht="30.75" thickTop="1" x14ac:dyDescent="0.25">
      <c r="A9" s="63" t="s">
        <v>7</v>
      </c>
      <c r="B9" s="64" t="str">
        <f>CONCATENATE("$", M14)</f>
        <v>$00</v>
      </c>
      <c r="C9" s="65" t="str">
        <f>CONCATENATE("$", M15)</f>
        <v>$00</v>
      </c>
      <c r="D9" s="33">
        <f>HEX2DEC(RIGHT(B8,2))</f>
        <v>0</v>
      </c>
      <c r="E9">
        <f t="shared" si="14"/>
        <v>20</v>
      </c>
      <c r="F9" s="33">
        <f t="shared" si="12"/>
        <v>0</v>
      </c>
      <c r="G9">
        <f t="shared" si="13"/>
        <v>20</v>
      </c>
      <c r="I9" s="18" t="s">
        <v>31</v>
      </c>
      <c r="J9" s="6"/>
      <c r="K9" s="6"/>
      <c r="L9" s="15" t="s">
        <v>53</v>
      </c>
      <c r="M9" s="12" t="str">
        <f>CONCATENATE(0,M8)</f>
        <v>00</v>
      </c>
      <c r="N9" s="12" t="str">
        <f>CONCATENATE(0,N8)</f>
        <v>00</v>
      </c>
      <c r="O9" s="6"/>
      <c r="Q9" s="37">
        <v>7</v>
      </c>
      <c r="R9" s="38" t="s">
        <v>241</v>
      </c>
      <c r="S9" s="39" t="str">
        <f t="shared" si="0"/>
        <v/>
      </c>
      <c r="T9" s="41" t="str">
        <f t="array" ref="T9">IFERROR(INDEX($U$21:$U$208, SMALL(IF($R$19=$R$21:$R$208, ROW($R$21:$R$208)-ROW($R$21)+1), ROW(8:8))),"")</f>
        <v/>
      </c>
      <c r="U9" s="40"/>
      <c r="V9" s="39"/>
      <c r="W9" s="39" t="str">
        <f t="shared" si="2"/>
        <v/>
      </c>
      <c r="X9" s="42" t="str">
        <f t="shared" si="3"/>
        <v/>
      </c>
      <c r="Y9" s="42" t="str">
        <f t="shared" si="4"/>
        <v/>
      </c>
      <c r="Z9" s="39" t="str">
        <f t="shared" si="5"/>
        <v/>
      </c>
      <c r="AA9" s="39" t="str">
        <f t="shared" si="6"/>
        <v/>
      </c>
      <c r="AB9" s="39" t="str">
        <f t="shared" si="7"/>
        <v>0</v>
      </c>
      <c r="AC9" s="39" t="str">
        <f t="shared" si="8"/>
        <v>0</v>
      </c>
      <c r="AD9" s="39" t="str">
        <f t="shared" si="9"/>
        <v>00</v>
      </c>
      <c r="AE9" s="39" t="str">
        <f t="shared" si="10"/>
        <v>00</v>
      </c>
      <c r="AF9" s="39" t="str">
        <f t="shared" si="11"/>
        <v/>
      </c>
      <c r="AG9" s="53" t="s">
        <v>276</v>
      </c>
      <c r="AH9" s="53">
        <v>7</v>
      </c>
    </row>
    <row r="10" spans="1:53" ht="15.75" x14ac:dyDescent="0.25">
      <c r="A10" s="69" t="s">
        <v>8</v>
      </c>
      <c r="B10" s="5" t="str">
        <f>CONCATENATE("$",N14)</f>
        <v>$00</v>
      </c>
      <c r="C10" s="70" t="str">
        <f>CONCATENATE("$",N15)</f>
        <v>$00</v>
      </c>
      <c r="D10" s="33">
        <f t="shared" si="1"/>
        <v>0</v>
      </c>
      <c r="E10">
        <f t="shared" si="14"/>
        <v>20</v>
      </c>
      <c r="F10" s="33">
        <f t="shared" si="12"/>
        <v>0</v>
      </c>
      <c r="G10">
        <f t="shared" si="13"/>
        <v>20</v>
      </c>
      <c r="I10" s="29" t="s">
        <v>40</v>
      </c>
      <c r="J10" s="29" t="s">
        <v>32</v>
      </c>
      <c r="K10" s="16"/>
      <c r="L10" s="16" t="s">
        <v>54</v>
      </c>
      <c r="M10" s="12" t="str">
        <f>RIGHT(M9,2)</f>
        <v>00</v>
      </c>
      <c r="N10" s="12" t="str">
        <f>RIGHT(N9,2)</f>
        <v>00</v>
      </c>
      <c r="O10" s="6"/>
      <c r="Q10" s="37">
        <v>8</v>
      </c>
      <c r="R10" s="38" t="s">
        <v>245</v>
      </c>
      <c r="S10" s="39" t="str">
        <f t="shared" si="0"/>
        <v/>
      </c>
      <c r="T10" s="41" t="str">
        <f t="array" ref="T10">IFERROR(INDEX($U$21:$U$208, SMALL(IF($R$19=$R$21:$R$208, ROW($R$21:$R$208)-ROW($R$21)+1), ROW(9:9))),"")</f>
        <v/>
      </c>
      <c r="U10" s="40"/>
      <c r="V10" s="39"/>
      <c r="W10" s="39" t="str">
        <f t="shared" si="2"/>
        <v/>
      </c>
      <c r="X10" s="42" t="str">
        <f t="shared" si="3"/>
        <v/>
      </c>
      <c r="Y10" s="42" t="str">
        <f t="shared" si="4"/>
        <v/>
      </c>
      <c r="Z10" s="39" t="str">
        <f t="shared" si="5"/>
        <v/>
      </c>
      <c r="AA10" s="39" t="str">
        <f t="shared" si="6"/>
        <v/>
      </c>
      <c r="AB10" s="39" t="str">
        <f t="shared" si="7"/>
        <v>0</v>
      </c>
      <c r="AC10" s="39" t="str">
        <f t="shared" si="8"/>
        <v>0</v>
      </c>
      <c r="AD10" s="39" t="str">
        <f t="shared" si="9"/>
        <v>00</v>
      </c>
      <c r="AE10" s="39" t="str">
        <f t="shared" si="10"/>
        <v>00</v>
      </c>
      <c r="AF10" s="39" t="str">
        <f t="shared" si="11"/>
        <v/>
      </c>
      <c r="AG10" s="53" t="s">
        <v>277</v>
      </c>
      <c r="AH10" s="53">
        <v>8</v>
      </c>
    </row>
    <row r="11" spans="1:53" ht="15.75" x14ac:dyDescent="0.25">
      <c r="A11" s="69" t="s">
        <v>9</v>
      </c>
      <c r="B11" s="5" t="str">
        <f>CONCATENATE("$", O14)</f>
        <v>$00</v>
      </c>
      <c r="C11" s="70" t="str">
        <f>CONCATENATE("$", O15)</f>
        <v>$00</v>
      </c>
      <c r="D11" s="33">
        <f t="shared" si="1"/>
        <v>0</v>
      </c>
      <c r="E11">
        <f t="shared" si="14"/>
        <v>20</v>
      </c>
      <c r="F11" s="33">
        <f t="shared" si="12"/>
        <v>0</v>
      </c>
      <c r="G11">
        <f t="shared" si="13"/>
        <v>20</v>
      </c>
      <c r="I11" s="29" t="s">
        <v>41</v>
      </c>
      <c r="J11" s="30" t="s">
        <v>33</v>
      </c>
      <c r="K11" s="48" t="s">
        <v>76</v>
      </c>
      <c r="L11" s="80" t="s">
        <v>41</v>
      </c>
      <c r="M11" s="7"/>
      <c r="N11" s="6"/>
      <c r="O11" s="6"/>
      <c r="Q11" s="37">
        <v>9</v>
      </c>
      <c r="R11" s="38" t="s">
        <v>245</v>
      </c>
      <c r="S11" s="39" t="str">
        <f t="shared" si="0"/>
        <v/>
      </c>
      <c r="T11" s="41" t="str">
        <f t="array" ref="T11">IFERROR(INDEX($U$21:$U$208, SMALL(IF($R$19=$R$21:$R$208, ROW($R$21:$R$208)-ROW($R$21)+1), ROW(10:10))),"")</f>
        <v/>
      </c>
      <c r="U11" s="40"/>
      <c r="V11" s="39"/>
      <c r="W11" s="39" t="str">
        <f t="shared" si="2"/>
        <v/>
      </c>
      <c r="X11" s="42" t="str">
        <f t="shared" si="3"/>
        <v/>
      </c>
      <c r="Y11" s="42" t="str">
        <f t="shared" si="4"/>
        <v/>
      </c>
      <c r="Z11" s="39" t="str">
        <f t="shared" si="5"/>
        <v/>
      </c>
      <c r="AA11" s="39" t="str">
        <f t="shared" si="6"/>
        <v/>
      </c>
      <c r="AB11" s="39" t="str">
        <f t="shared" si="7"/>
        <v>0</v>
      </c>
      <c r="AC11" s="39" t="str">
        <f t="shared" si="8"/>
        <v>0</v>
      </c>
      <c r="AD11" s="39" t="str">
        <f t="shared" si="9"/>
        <v>00</v>
      </c>
      <c r="AE11" s="39" t="str">
        <f t="shared" si="10"/>
        <v>00</v>
      </c>
      <c r="AF11" s="39" t="str">
        <f t="shared" si="11"/>
        <v/>
      </c>
      <c r="AG11" s="53" t="s">
        <v>278</v>
      </c>
      <c r="AH11" s="53">
        <v>9</v>
      </c>
    </row>
    <row r="12" spans="1:53" ht="16.5" thickBot="1" x14ac:dyDescent="0.3">
      <c r="A12" s="66" t="s">
        <v>10</v>
      </c>
      <c r="B12" s="67" t="str">
        <f>CONCATENATE("$", P14)</f>
        <v>$00</v>
      </c>
      <c r="C12" s="68" t="str">
        <f>CONCATENATE("$", P15)</f>
        <v>$00</v>
      </c>
      <c r="D12" s="33">
        <f t="shared" si="1"/>
        <v>0</v>
      </c>
      <c r="E12">
        <f t="shared" si="14"/>
        <v>20</v>
      </c>
      <c r="F12" s="33">
        <f t="shared" si="12"/>
        <v>0</v>
      </c>
      <c r="G12">
        <f t="shared" si="13"/>
        <v>20</v>
      </c>
      <c r="I12" s="29" t="s">
        <v>42</v>
      </c>
      <c r="J12" s="30" t="s">
        <v>34</v>
      </c>
      <c r="K12" s="48" t="s">
        <v>77</v>
      </c>
      <c r="L12" s="80" t="s">
        <v>414</v>
      </c>
      <c r="M12" s="7"/>
      <c r="N12" s="6"/>
      <c r="O12" s="6"/>
      <c r="Q12" s="37">
        <v>10</v>
      </c>
      <c r="R12" s="38" t="s">
        <v>245</v>
      </c>
      <c r="S12" s="39" t="str">
        <f t="shared" si="0"/>
        <v/>
      </c>
      <c r="T12" s="41" t="str">
        <f t="array" ref="T12">IFERROR(INDEX($U$21:$U$208, SMALL(IF($R$19=$R$21:$R$208, ROW($R$21:$R$208)-ROW($R$21)+1), ROW(11:11))),"")</f>
        <v/>
      </c>
      <c r="U12" s="40"/>
      <c r="V12" s="39"/>
      <c r="W12" s="39" t="str">
        <f t="shared" si="2"/>
        <v/>
      </c>
      <c r="X12" s="42" t="str">
        <f t="shared" si="3"/>
        <v/>
      </c>
      <c r="Y12" s="42" t="str">
        <f t="shared" si="4"/>
        <v/>
      </c>
      <c r="Z12" s="39" t="str">
        <f t="shared" si="5"/>
        <v/>
      </c>
      <c r="AA12" s="39" t="str">
        <f t="shared" si="6"/>
        <v/>
      </c>
      <c r="AB12" s="39" t="str">
        <f t="shared" si="7"/>
        <v>0</v>
      </c>
      <c r="AC12" s="39" t="str">
        <f t="shared" si="8"/>
        <v>0</v>
      </c>
      <c r="AD12" s="39" t="str">
        <f t="shared" si="9"/>
        <v>00</v>
      </c>
      <c r="AE12" s="39" t="str">
        <f t="shared" si="10"/>
        <v>00</v>
      </c>
      <c r="AF12" s="39" t="str">
        <f t="shared" si="11"/>
        <v/>
      </c>
      <c r="AG12" s="53" t="s">
        <v>279</v>
      </c>
      <c r="AH12" s="53">
        <v>10</v>
      </c>
    </row>
    <row r="13" spans="1:53" ht="21.75" customHeight="1" thickTop="1" x14ac:dyDescent="0.25">
      <c r="A13" s="63" t="s">
        <v>11</v>
      </c>
      <c r="B13" s="64" t="str">
        <f>CONCATENATE("$", AK8)</f>
        <v>$04</v>
      </c>
      <c r="C13" s="65" t="str">
        <f>CONCATENATE("$", AK8)</f>
        <v>$04</v>
      </c>
      <c r="D13" s="33">
        <f t="shared" si="1"/>
        <v>4</v>
      </c>
      <c r="E13">
        <f t="shared" si="14"/>
        <v>16</v>
      </c>
      <c r="F13" s="33">
        <f t="shared" si="12"/>
        <v>4</v>
      </c>
      <c r="G13">
        <f t="shared" si="13"/>
        <v>16</v>
      </c>
      <c r="I13" s="29" t="s">
        <v>43</v>
      </c>
      <c r="J13" s="30" t="s">
        <v>35</v>
      </c>
      <c r="K13" s="48" t="s">
        <v>168</v>
      </c>
      <c r="L13" s="80" t="s">
        <v>268</v>
      </c>
      <c r="M13" s="7"/>
      <c r="N13" s="6"/>
      <c r="O13" s="6"/>
      <c r="Q13" s="37">
        <v>11</v>
      </c>
      <c r="R13" s="38" t="s">
        <v>242</v>
      </c>
      <c r="S13" s="39" t="str">
        <f t="shared" si="0"/>
        <v/>
      </c>
      <c r="T13" s="41" t="str">
        <f t="array" ref="T13">IFERROR(INDEX($U$21:$U$208, SMALL(IF($R$19=$R$21:$R$208, ROW($R$21:$R$208)-ROW($R$21)+1), ROW(12:12))),"")</f>
        <v/>
      </c>
      <c r="U13" s="40"/>
      <c r="V13" s="39"/>
      <c r="W13" s="39" t="str">
        <f t="shared" si="2"/>
        <v/>
      </c>
      <c r="X13" s="42" t="str">
        <f t="shared" si="3"/>
        <v/>
      </c>
      <c r="Y13" s="42" t="str">
        <f t="shared" si="4"/>
        <v/>
      </c>
      <c r="Z13" s="39" t="str">
        <f t="shared" si="5"/>
        <v/>
      </c>
      <c r="AA13" s="39" t="str">
        <f t="shared" si="6"/>
        <v/>
      </c>
      <c r="AB13" s="39" t="str">
        <f t="shared" si="7"/>
        <v>0</v>
      </c>
      <c r="AC13" s="39" t="str">
        <f t="shared" si="8"/>
        <v>0</v>
      </c>
      <c r="AD13" s="39" t="str">
        <f t="shared" si="9"/>
        <v>00</v>
      </c>
      <c r="AE13" s="39" t="str">
        <f t="shared" si="10"/>
        <v>00</v>
      </c>
      <c r="AF13" s="39" t="str">
        <f t="shared" si="11"/>
        <v/>
      </c>
      <c r="AG13" s="53" t="s">
        <v>280</v>
      </c>
      <c r="AH13" s="53">
        <v>11</v>
      </c>
    </row>
    <row r="14" spans="1:53" ht="26.25" customHeight="1" thickBot="1" x14ac:dyDescent="0.3">
      <c r="A14" s="66" t="s">
        <v>12</v>
      </c>
      <c r="B14" s="67" t="str">
        <f>CONCATENATE("$", AL8)</f>
        <v>$01</v>
      </c>
      <c r="C14" s="68" t="str">
        <f>CONCATENATE("$", AL8)</f>
        <v>$01</v>
      </c>
      <c r="D14" s="33">
        <f t="shared" si="1"/>
        <v>1</v>
      </c>
      <c r="E14">
        <f t="shared" si="14"/>
        <v>17</v>
      </c>
      <c r="F14" s="33">
        <f t="shared" si="12"/>
        <v>1</v>
      </c>
      <c r="G14">
        <f t="shared" si="13"/>
        <v>17</v>
      </c>
      <c r="I14" s="29" t="s">
        <v>44</v>
      </c>
      <c r="J14" s="30" t="s">
        <v>36</v>
      </c>
      <c r="K14" s="47" t="s">
        <v>266</v>
      </c>
      <c r="L14" s="80">
        <v>0</v>
      </c>
      <c r="M14" s="49" t="str">
        <f>LEFT(R17,2)</f>
        <v>00</v>
      </c>
      <c r="N14" s="49" t="str">
        <f>LEFT(S17,2)</f>
        <v>00</v>
      </c>
      <c r="O14" s="49" t="str">
        <f>RIGHT(T17,2)</f>
        <v>00</v>
      </c>
      <c r="P14" s="49" t="str">
        <f>RIGHT(R17,2)</f>
        <v>00</v>
      </c>
      <c r="Q14" s="37">
        <v>12</v>
      </c>
      <c r="R14" s="38" t="s">
        <v>243</v>
      </c>
      <c r="S14" s="39" t="str">
        <f t="shared" si="0"/>
        <v/>
      </c>
      <c r="T14" s="41" t="str">
        <f t="array" ref="T14">IFERROR(INDEX($U$21:$U$208, SMALL(IF($R$19=$R$21:$R$208, ROW($R$21:$R$208)-ROW($R$21)+1), ROW(13:13))),"")</f>
        <v/>
      </c>
      <c r="U14" s="40"/>
      <c r="V14" s="39"/>
      <c r="W14" s="39" t="str">
        <f t="shared" si="2"/>
        <v/>
      </c>
      <c r="X14" s="42" t="str">
        <f t="shared" si="3"/>
        <v/>
      </c>
      <c r="Y14" s="42" t="str">
        <f t="shared" si="4"/>
        <v/>
      </c>
      <c r="Z14" s="39" t="str">
        <f t="shared" si="5"/>
        <v/>
      </c>
      <c r="AA14" s="39" t="str">
        <f t="shared" si="6"/>
        <v/>
      </c>
      <c r="AB14" s="39" t="str">
        <f t="shared" si="7"/>
        <v>0</v>
      </c>
      <c r="AC14" s="39" t="str">
        <f t="shared" si="8"/>
        <v>0</v>
      </c>
      <c r="AD14" s="39" t="str">
        <f t="shared" si="9"/>
        <v>00</v>
      </c>
      <c r="AE14" s="39" t="str">
        <f t="shared" si="10"/>
        <v>00</v>
      </c>
      <c r="AF14" s="39" t="str">
        <f t="shared" si="11"/>
        <v/>
      </c>
      <c r="AG14" s="53" t="s">
        <v>281</v>
      </c>
      <c r="AH14" s="53">
        <v>12</v>
      </c>
    </row>
    <row r="15" spans="1:53" ht="30.75" thickTop="1" x14ac:dyDescent="0.25">
      <c r="A15" s="54" t="s">
        <v>13</v>
      </c>
      <c r="B15" s="55" t="s">
        <v>26</v>
      </c>
      <c r="C15" s="55" t="s">
        <v>26</v>
      </c>
      <c r="D15" s="33">
        <f t="shared" si="1"/>
        <v>0</v>
      </c>
      <c r="E15">
        <f t="shared" si="14"/>
        <v>17</v>
      </c>
      <c r="F15" s="33">
        <f t="shared" si="12"/>
        <v>0</v>
      </c>
      <c r="G15">
        <f t="shared" si="13"/>
        <v>17</v>
      </c>
      <c r="I15" s="29" t="s">
        <v>45</v>
      </c>
      <c r="J15" s="30" t="s">
        <v>37</v>
      </c>
      <c r="K15" s="47" t="s">
        <v>267</v>
      </c>
      <c r="L15" s="80" t="s">
        <v>396</v>
      </c>
      <c r="M15" s="50" t="s">
        <v>268</v>
      </c>
      <c r="N15" s="50" t="s">
        <v>268</v>
      </c>
      <c r="O15" s="50" t="s">
        <v>268</v>
      </c>
      <c r="P15" s="49" t="str">
        <f>+RIGHT(AI1,2)</f>
        <v>00</v>
      </c>
      <c r="Q15" s="37">
        <v>13</v>
      </c>
      <c r="R15" s="38" t="s">
        <v>244</v>
      </c>
      <c r="S15" s="39" t="str">
        <f t="shared" si="0"/>
        <v/>
      </c>
      <c r="T15" s="41" t="str">
        <f t="array" ref="T15">IFERROR(INDEX($U$21:$U$208, SMALL(IF($R$19=$R$21:$R$208, ROW($R$21:$R$208)-ROW($R$21)+1), ROW(14:14))),"")</f>
        <v/>
      </c>
      <c r="U15" s="40"/>
      <c r="V15" s="39"/>
      <c r="W15" s="39" t="str">
        <f t="shared" si="2"/>
        <v/>
      </c>
      <c r="X15" s="42" t="str">
        <f t="shared" si="3"/>
        <v/>
      </c>
      <c r="Y15" s="42" t="str">
        <f t="shared" si="4"/>
        <v/>
      </c>
      <c r="Z15" s="39" t="str">
        <f t="shared" si="5"/>
        <v/>
      </c>
      <c r="AA15" s="39" t="str">
        <f t="shared" si="6"/>
        <v/>
      </c>
      <c r="AB15" s="39" t="str">
        <f t="shared" si="7"/>
        <v>0</v>
      </c>
      <c r="AC15" s="39" t="str">
        <f t="shared" si="8"/>
        <v>0</v>
      </c>
      <c r="AD15" s="39" t="str">
        <f t="shared" si="9"/>
        <v>00</v>
      </c>
      <c r="AE15" s="39" t="str">
        <f t="shared" si="10"/>
        <v>00</v>
      </c>
      <c r="AF15" s="39" t="str">
        <f t="shared" si="11"/>
        <v/>
      </c>
      <c r="AG15" s="53" t="s">
        <v>282</v>
      </c>
      <c r="AH15" s="53">
        <v>13</v>
      </c>
    </row>
    <row r="16" spans="1:53" ht="45.75" thickBot="1" x14ac:dyDescent="0.3">
      <c r="A16" s="2" t="s">
        <v>14</v>
      </c>
      <c r="B16" s="3" t="s">
        <v>26</v>
      </c>
      <c r="C16" s="3" t="s">
        <v>26</v>
      </c>
      <c r="D16" s="33">
        <f t="shared" si="1"/>
        <v>0</v>
      </c>
      <c r="E16">
        <f t="shared" si="14"/>
        <v>17</v>
      </c>
      <c r="F16" s="33">
        <f t="shared" si="12"/>
        <v>0</v>
      </c>
      <c r="G16">
        <f t="shared" si="13"/>
        <v>17</v>
      </c>
      <c r="I16" s="29" t="s">
        <v>46</v>
      </c>
      <c r="J16" s="30" t="s">
        <v>38</v>
      </c>
      <c r="K16" s="47" t="s">
        <v>410</v>
      </c>
      <c r="L16" s="80" t="s">
        <v>413</v>
      </c>
      <c r="M16" s="7"/>
      <c r="N16" s="6"/>
      <c r="O16" s="6"/>
      <c r="Q16" s="37">
        <v>14</v>
      </c>
      <c r="R16" s="38" t="s">
        <v>247</v>
      </c>
      <c r="S16" s="39" t="str">
        <f t="shared" si="0"/>
        <v/>
      </c>
      <c r="T16" s="41" t="str">
        <f t="array" ref="T16">IFERROR(INDEX($U$21:$U$208, SMALL(IF($R$19=$R$21:$R$208, ROW($R$21:$R$208)-ROW($R$21)+1), ROW(15:15))),"")</f>
        <v/>
      </c>
      <c r="U16" s="40"/>
      <c r="V16" s="39"/>
      <c r="W16" s="39" t="str">
        <f t="shared" si="2"/>
        <v/>
      </c>
      <c r="X16" s="42" t="str">
        <f t="shared" si="3"/>
        <v/>
      </c>
      <c r="Y16" s="42" t="str">
        <f t="shared" si="4"/>
        <v/>
      </c>
      <c r="Z16" s="39" t="str">
        <f t="shared" si="5"/>
        <v/>
      </c>
      <c r="AA16" s="39" t="str">
        <f t="shared" si="6"/>
        <v/>
      </c>
      <c r="AB16" s="39" t="str">
        <f t="shared" si="7"/>
        <v>0</v>
      </c>
      <c r="AC16" s="39" t="str">
        <f t="shared" si="8"/>
        <v>0</v>
      </c>
      <c r="AD16" s="39" t="str">
        <f t="shared" si="9"/>
        <v>00</v>
      </c>
      <c r="AE16" s="39" t="str">
        <f t="shared" si="10"/>
        <v>00</v>
      </c>
      <c r="AF16" s="39" t="str">
        <f t="shared" si="11"/>
        <v/>
      </c>
      <c r="AG16" s="53" t="s">
        <v>283</v>
      </c>
      <c r="AH16" s="53">
        <v>14</v>
      </c>
    </row>
    <row r="17" spans="1:34" ht="15.75" thickBot="1" x14ac:dyDescent="0.3">
      <c r="A17" s="2" t="s">
        <v>15</v>
      </c>
      <c r="B17" s="3" t="s">
        <v>26</v>
      </c>
      <c r="C17" s="3" t="s">
        <v>26</v>
      </c>
      <c r="D17" s="33">
        <f t="shared" si="1"/>
        <v>0</v>
      </c>
      <c r="E17">
        <f t="shared" si="14"/>
        <v>17</v>
      </c>
      <c r="F17" s="33">
        <f t="shared" si="12"/>
        <v>0</v>
      </c>
      <c r="G17">
        <f t="shared" si="13"/>
        <v>17</v>
      </c>
      <c r="I17" s="29" t="s">
        <v>47</v>
      </c>
      <c r="J17" s="30" t="s">
        <v>39</v>
      </c>
      <c r="K17" s="6"/>
      <c r="L17" s="6"/>
      <c r="M17" s="7"/>
      <c r="N17" s="6"/>
      <c r="O17" s="6"/>
      <c r="Q17" s="43"/>
      <c r="R17" s="44" t="str">
        <f>+DEC2HEX(L14,8)</f>
        <v>00000000</v>
      </c>
      <c r="S17" s="45" t="str">
        <f>RIGHT(R17,6)</f>
        <v>000000</v>
      </c>
      <c r="T17" s="46" t="str">
        <f>LEFT(S17,4)</f>
        <v>0000</v>
      </c>
      <c r="W17" s="39" t="str">
        <f t="shared" si="2"/>
        <v>0</v>
      </c>
      <c r="X17" s="42">
        <f t="shared" si="3"/>
        <v>0</v>
      </c>
      <c r="Y17" s="42" t="str">
        <f t="shared" si="4"/>
        <v>0000000000000000</v>
      </c>
      <c r="Z17" s="39" t="str">
        <f t="shared" si="5"/>
        <v>00000000</v>
      </c>
      <c r="AA17" s="39" t="str">
        <f t="shared" si="6"/>
        <v>00000000</v>
      </c>
      <c r="AB17" s="39" t="str">
        <f t="shared" si="7"/>
        <v>0</v>
      </c>
      <c r="AC17" s="39" t="str">
        <f t="shared" si="8"/>
        <v>0</v>
      </c>
      <c r="AD17" s="39" t="str">
        <f t="shared" si="9"/>
        <v>00</v>
      </c>
      <c r="AE17" s="39" t="str">
        <f t="shared" si="10"/>
        <v>00</v>
      </c>
      <c r="AF17" s="39" t="str">
        <f t="shared" si="11"/>
        <v>$00</v>
      </c>
      <c r="AG17" s="53" t="s">
        <v>284</v>
      </c>
      <c r="AH17" s="53">
        <v>15</v>
      </c>
    </row>
    <row r="18" spans="1:34" ht="22.5" x14ac:dyDescent="0.25">
      <c r="A18" s="2" t="s">
        <v>16</v>
      </c>
      <c r="B18" s="3" t="s">
        <v>26</v>
      </c>
      <c r="C18" s="3" t="s">
        <v>26</v>
      </c>
      <c r="D18" s="33">
        <f t="shared" si="1"/>
        <v>0</v>
      </c>
      <c r="E18">
        <f t="shared" si="14"/>
        <v>17</v>
      </c>
      <c r="F18" s="33">
        <f t="shared" si="12"/>
        <v>0</v>
      </c>
      <c r="G18">
        <f t="shared" si="13"/>
        <v>17</v>
      </c>
      <c r="AG18" s="53" t="s">
        <v>285</v>
      </c>
      <c r="AH18" s="53">
        <v>16</v>
      </c>
    </row>
    <row r="19" spans="1:34" ht="22.5" x14ac:dyDescent="0.25">
      <c r="A19" s="2" t="s">
        <v>17</v>
      </c>
      <c r="B19" s="3" t="s">
        <v>26</v>
      </c>
      <c r="C19" s="3" t="s">
        <v>26</v>
      </c>
      <c r="D19" s="33">
        <f t="shared" si="1"/>
        <v>0</v>
      </c>
      <c r="E19">
        <f t="shared" si="14"/>
        <v>17</v>
      </c>
      <c r="F19" s="33">
        <f t="shared" si="12"/>
        <v>0</v>
      </c>
      <c r="G19">
        <f t="shared" si="13"/>
        <v>17</v>
      </c>
      <c r="I19" s="17" t="s">
        <v>48</v>
      </c>
      <c r="J19" s="1"/>
      <c r="Q19" t="s">
        <v>169</v>
      </c>
      <c r="R19" s="17" t="str">
        <f>+L12</f>
        <v>No Parameter</v>
      </c>
      <c r="AG19" s="53" t="s">
        <v>286</v>
      </c>
      <c r="AH19" s="53">
        <v>17</v>
      </c>
    </row>
    <row r="20" spans="1:34" x14ac:dyDescent="0.25">
      <c r="A20" s="2" t="s">
        <v>18</v>
      </c>
      <c r="B20" s="21" t="s">
        <v>26</v>
      </c>
      <c r="C20" s="21" t="s">
        <v>26</v>
      </c>
      <c r="D20" s="33">
        <f t="shared" si="1"/>
        <v>0</v>
      </c>
      <c r="E20">
        <f t="shared" si="14"/>
        <v>17</v>
      </c>
      <c r="F20" s="33">
        <f t="shared" si="12"/>
        <v>0</v>
      </c>
      <c r="G20">
        <f t="shared" si="13"/>
        <v>17</v>
      </c>
      <c r="H20" s="22" t="s">
        <v>50</v>
      </c>
      <c r="I20" s="23" t="s">
        <v>40</v>
      </c>
      <c r="J20" s="24" t="s">
        <v>32</v>
      </c>
      <c r="K20" s="22" t="s">
        <v>72</v>
      </c>
      <c r="L20" s="22"/>
      <c r="M20" s="22" t="s">
        <v>73</v>
      </c>
      <c r="N20" s="22" t="s">
        <v>74</v>
      </c>
      <c r="O20" s="22" t="s">
        <v>75</v>
      </c>
      <c r="Q20" s="31" t="s">
        <v>170</v>
      </c>
      <c r="R20" s="32" t="s">
        <v>171</v>
      </c>
      <c r="S20" s="32" t="s">
        <v>78</v>
      </c>
      <c r="T20" s="31" t="s">
        <v>172</v>
      </c>
      <c r="U20" s="32" t="s">
        <v>173</v>
      </c>
      <c r="V20" s="32" t="s">
        <v>233</v>
      </c>
      <c r="AF20" t="s">
        <v>256</v>
      </c>
      <c r="AG20" s="53" t="s">
        <v>287</v>
      </c>
      <c r="AH20" s="53">
        <v>18</v>
      </c>
    </row>
    <row r="21" spans="1:34" ht="30" x14ac:dyDescent="0.25">
      <c r="A21" s="2" t="s">
        <v>19</v>
      </c>
      <c r="B21" s="21" t="s">
        <v>26</v>
      </c>
      <c r="C21" s="21" t="s">
        <v>26</v>
      </c>
      <c r="D21" s="33">
        <f t="shared" si="1"/>
        <v>0</v>
      </c>
      <c r="E21">
        <f t="shared" si="14"/>
        <v>17</v>
      </c>
      <c r="F21" s="33">
        <f t="shared" si="12"/>
        <v>0</v>
      </c>
      <c r="G21">
        <f t="shared" si="13"/>
        <v>17</v>
      </c>
      <c r="H21" s="22">
        <v>0</v>
      </c>
      <c r="I21" s="23" t="s">
        <v>414</v>
      </c>
      <c r="J21" s="25">
        <v>0</v>
      </c>
      <c r="K21" s="26">
        <f>VALUE(J21)</f>
        <v>0</v>
      </c>
      <c r="L21" s="22" t="str">
        <f>+TEXT(K21,"0000000000000000")</f>
        <v>0000000000000000</v>
      </c>
      <c r="M21" s="22" t="str">
        <f>+RIGHT(L21,11)</f>
        <v>00000000000</v>
      </c>
      <c r="N21" s="27" t="str">
        <f>+LEFT(M21,3)</f>
        <v>000</v>
      </c>
      <c r="O21" s="27" t="str">
        <f>RIGHT(M21,8)</f>
        <v>00000000</v>
      </c>
      <c r="Q21">
        <v>1</v>
      </c>
      <c r="R21" s="17" t="str">
        <f t="shared" ref="R21:R52" si="15">VLOOKUP(Q21,$H$20:$I$128,2,FALSE)</f>
        <v>Device Type</v>
      </c>
      <c r="S21" s="17">
        <v>0</v>
      </c>
      <c r="T21">
        <v>180</v>
      </c>
      <c r="U21" s="17" t="s">
        <v>174</v>
      </c>
      <c r="AF21">
        <v>65535</v>
      </c>
      <c r="AG21" s="53" t="s">
        <v>288</v>
      </c>
      <c r="AH21" s="53">
        <v>19</v>
      </c>
    </row>
    <row r="22" spans="1:34" ht="45" x14ac:dyDescent="0.25">
      <c r="A22" s="2" t="s">
        <v>20</v>
      </c>
      <c r="B22" s="21" t="s">
        <v>26</v>
      </c>
      <c r="C22" s="21" t="s">
        <v>26</v>
      </c>
      <c r="D22" s="33">
        <f t="shared" si="1"/>
        <v>0</v>
      </c>
      <c r="E22">
        <f t="shared" si="14"/>
        <v>17</v>
      </c>
      <c r="F22" s="33">
        <f t="shared" si="12"/>
        <v>0</v>
      </c>
      <c r="G22">
        <f t="shared" si="13"/>
        <v>17</v>
      </c>
      <c r="H22" s="22">
        <v>1</v>
      </c>
      <c r="I22" s="23" t="s">
        <v>49</v>
      </c>
      <c r="J22" s="25" t="str">
        <f t="shared" ref="J22:J85" si="16">IF(H22="","",TEXT(DEC2BIN(INT(H22/512)),"0;;")&amp;DEC2BIN(MOD(H22,512),MIN(9,LOG(H22,2)+1)))</f>
        <v>1</v>
      </c>
      <c r="K22" s="26">
        <f>VALUE(J22)</f>
        <v>1</v>
      </c>
      <c r="L22" s="22" t="str">
        <f>+TEXT(K22,"0000000000000000")</f>
        <v>0000000000000001</v>
      </c>
      <c r="M22" s="22" t="str">
        <f>+RIGHT(L22,11)</f>
        <v>00000000001</v>
      </c>
      <c r="N22" s="27" t="str">
        <f>+LEFT(M22,3)</f>
        <v>000</v>
      </c>
      <c r="O22" s="27" t="str">
        <f>RIGHT(M22,8)</f>
        <v>00000001</v>
      </c>
      <c r="Q22">
        <v>1</v>
      </c>
      <c r="R22" s="17" t="str">
        <f t="shared" si="15"/>
        <v>Device Type</v>
      </c>
      <c r="S22" s="17">
        <v>0</v>
      </c>
      <c r="T22">
        <v>181</v>
      </c>
      <c r="U22" s="17" t="s">
        <v>175</v>
      </c>
      <c r="AF22">
        <v>65535</v>
      </c>
      <c r="AG22" s="53" t="s">
        <v>289</v>
      </c>
      <c r="AH22" s="53">
        <v>20</v>
      </c>
    </row>
    <row r="23" spans="1:34" ht="75" x14ac:dyDescent="0.25">
      <c r="A23" s="2" t="s">
        <v>21</v>
      </c>
      <c r="B23" s="21" t="s">
        <v>26</v>
      </c>
      <c r="C23" s="21" t="s">
        <v>26</v>
      </c>
      <c r="D23" s="33">
        <f t="shared" si="1"/>
        <v>0</v>
      </c>
      <c r="E23">
        <f t="shared" si="14"/>
        <v>17</v>
      </c>
      <c r="F23" s="33">
        <f t="shared" si="12"/>
        <v>0</v>
      </c>
      <c r="G23">
        <f t="shared" si="13"/>
        <v>17</v>
      </c>
      <c r="H23" s="22">
        <v>2</v>
      </c>
      <c r="I23" s="23" t="s">
        <v>71</v>
      </c>
      <c r="J23" s="28" t="str">
        <f t="shared" si="16"/>
        <v>10</v>
      </c>
      <c r="K23" s="26">
        <f t="shared" ref="K23:K86" si="17">VALUE(J23)</f>
        <v>10</v>
      </c>
      <c r="L23" s="22" t="str">
        <f t="shared" ref="L23:L86" si="18">+TEXT(K23,"0000000000000000")</f>
        <v>0000000000000010</v>
      </c>
      <c r="M23" s="22" t="str">
        <f t="shared" ref="M23:M86" si="19">+RIGHT(L23,11)</f>
        <v>00000000010</v>
      </c>
      <c r="N23" s="27" t="str">
        <f t="shared" ref="N23:N86" si="20">+LEFT(M23,3)</f>
        <v>000</v>
      </c>
      <c r="O23" s="27" t="str">
        <f t="shared" ref="O23:O86" si="21">RIGHT(M23,8)</f>
        <v>00000010</v>
      </c>
      <c r="Q23">
        <v>1</v>
      </c>
      <c r="R23" s="17" t="str">
        <f t="shared" si="15"/>
        <v>Device Type</v>
      </c>
      <c r="S23" s="17">
        <v>0</v>
      </c>
      <c r="T23">
        <v>182</v>
      </c>
      <c r="U23" s="17" t="s">
        <v>176</v>
      </c>
      <c r="AF23">
        <v>65535</v>
      </c>
      <c r="AG23" s="53" t="s">
        <v>290</v>
      </c>
      <c r="AH23" s="53">
        <v>21</v>
      </c>
    </row>
    <row r="24" spans="1:34" ht="30.75" thickBot="1" x14ac:dyDescent="0.3">
      <c r="A24" s="56" t="s">
        <v>22</v>
      </c>
      <c r="B24" s="72" t="s">
        <v>26</v>
      </c>
      <c r="C24" s="72" t="s">
        <v>26</v>
      </c>
      <c r="D24" s="33">
        <f t="shared" si="1"/>
        <v>0</v>
      </c>
      <c r="E24">
        <f t="shared" si="14"/>
        <v>17</v>
      </c>
      <c r="F24" s="33">
        <f t="shared" si="12"/>
        <v>0</v>
      </c>
      <c r="G24">
        <f t="shared" si="13"/>
        <v>17</v>
      </c>
      <c r="H24" s="22">
        <v>3</v>
      </c>
      <c r="I24" s="23" t="s">
        <v>55</v>
      </c>
      <c r="J24" s="28" t="str">
        <f t="shared" si="16"/>
        <v>11</v>
      </c>
      <c r="K24" s="26">
        <f t="shared" si="17"/>
        <v>11</v>
      </c>
      <c r="L24" s="22" t="str">
        <f t="shared" si="18"/>
        <v>0000000000000011</v>
      </c>
      <c r="M24" s="22" t="str">
        <f t="shared" si="19"/>
        <v>00000000011</v>
      </c>
      <c r="N24" s="27" t="str">
        <f t="shared" si="20"/>
        <v>000</v>
      </c>
      <c r="O24" s="27" t="str">
        <f t="shared" si="21"/>
        <v>00000011</v>
      </c>
      <c r="Q24">
        <v>1</v>
      </c>
      <c r="R24" s="17" t="str">
        <f t="shared" si="15"/>
        <v>Device Type</v>
      </c>
      <c r="S24" s="17">
        <v>0</v>
      </c>
      <c r="T24">
        <v>190</v>
      </c>
      <c r="U24" s="17" t="s">
        <v>177</v>
      </c>
      <c r="AF24">
        <v>65535</v>
      </c>
      <c r="AG24" s="53" t="s">
        <v>291</v>
      </c>
      <c r="AH24" s="53">
        <v>22</v>
      </c>
    </row>
    <row r="25" spans="1:34" ht="61.5" thickTop="1" thickBot="1" x14ac:dyDescent="0.3">
      <c r="A25" s="73" t="s">
        <v>23</v>
      </c>
      <c r="B25" s="74" t="str">
        <f>CONCATENATE("$",E28)</f>
        <v>$11</v>
      </c>
      <c r="C25" s="75" t="str">
        <f>CONCATENATE("$",G28)</f>
        <v>$11</v>
      </c>
      <c r="D25" s="71"/>
      <c r="E25">
        <f>_xlfn.BITXOR(D25,E24)</f>
        <v>17</v>
      </c>
      <c r="G25">
        <f t="shared" si="13"/>
        <v>17</v>
      </c>
      <c r="H25" s="22">
        <v>4</v>
      </c>
      <c r="I25" s="23" t="s">
        <v>56</v>
      </c>
      <c r="J25" s="28" t="str">
        <f t="shared" si="16"/>
        <v>100</v>
      </c>
      <c r="K25" s="26">
        <f t="shared" si="17"/>
        <v>100</v>
      </c>
      <c r="L25" s="22" t="str">
        <f t="shared" si="18"/>
        <v>0000000000000100</v>
      </c>
      <c r="M25" s="22" t="str">
        <f t="shared" si="19"/>
        <v>00000000100</v>
      </c>
      <c r="N25" s="27" t="str">
        <f t="shared" si="20"/>
        <v>000</v>
      </c>
      <c r="O25" s="27" t="str">
        <f t="shared" si="21"/>
        <v>00000100</v>
      </c>
      <c r="Q25">
        <v>1</v>
      </c>
      <c r="R25" s="17" t="str">
        <f t="shared" si="15"/>
        <v>Device Type</v>
      </c>
      <c r="S25" s="17">
        <v>0</v>
      </c>
      <c r="T25">
        <v>191</v>
      </c>
      <c r="U25" s="17" t="s">
        <v>178</v>
      </c>
      <c r="AG25" s="53" t="s">
        <v>292</v>
      </c>
      <c r="AH25" s="53">
        <v>23</v>
      </c>
    </row>
    <row r="26" spans="1:34" ht="30.75" thickTop="1" x14ac:dyDescent="0.25">
      <c r="B26" s="1"/>
      <c r="C26" s="1"/>
      <c r="D26" s="1"/>
      <c r="E26" s="4" t="str">
        <f>DEC2HEX(E25)</f>
        <v>11</v>
      </c>
      <c r="F26" s="4"/>
      <c r="G26" s="4" t="str">
        <f>DEC2HEX(G25)</f>
        <v>11</v>
      </c>
      <c r="H26" s="22">
        <v>5</v>
      </c>
      <c r="I26" s="23" t="s">
        <v>57</v>
      </c>
      <c r="J26" s="28" t="str">
        <f t="shared" si="16"/>
        <v>101</v>
      </c>
      <c r="K26" s="26">
        <f t="shared" si="17"/>
        <v>101</v>
      </c>
      <c r="L26" s="22" t="str">
        <f t="shared" si="18"/>
        <v>0000000000000101</v>
      </c>
      <c r="M26" s="22" t="str">
        <f t="shared" si="19"/>
        <v>00000000101</v>
      </c>
      <c r="N26" s="27" t="str">
        <f t="shared" si="20"/>
        <v>000</v>
      </c>
      <c r="O26" s="27" t="str">
        <f t="shared" si="21"/>
        <v>00000101</v>
      </c>
      <c r="Q26">
        <v>1</v>
      </c>
      <c r="R26" s="17" t="str">
        <f t="shared" si="15"/>
        <v>Device Type</v>
      </c>
      <c r="S26" s="17">
        <v>0</v>
      </c>
      <c r="T26">
        <v>192</v>
      </c>
      <c r="U26" s="17" t="s">
        <v>179</v>
      </c>
      <c r="AG26" s="53" t="s">
        <v>293</v>
      </c>
      <c r="AH26" s="53">
        <v>24</v>
      </c>
    </row>
    <row r="27" spans="1:34" ht="30" x14ac:dyDescent="0.25">
      <c r="E27" s="4" t="str">
        <f>CONCATENATE(0,E26)</f>
        <v>011</v>
      </c>
      <c r="F27" s="4"/>
      <c r="G27" s="4" t="str">
        <f>CONCATENATE(0,G26)</f>
        <v>011</v>
      </c>
      <c r="H27" s="22">
        <v>6</v>
      </c>
      <c r="I27" s="23" t="s">
        <v>58</v>
      </c>
      <c r="J27" s="28" t="str">
        <f t="shared" si="16"/>
        <v>110</v>
      </c>
      <c r="K27" s="26">
        <f t="shared" si="17"/>
        <v>110</v>
      </c>
      <c r="L27" s="22" t="str">
        <f t="shared" si="18"/>
        <v>0000000000000110</v>
      </c>
      <c r="M27" s="22" t="str">
        <f t="shared" si="19"/>
        <v>00000000110</v>
      </c>
      <c r="N27" s="27" t="str">
        <f t="shared" si="20"/>
        <v>000</v>
      </c>
      <c r="O27" s="27" t="str">
        <f t="shared" si="21"/>
        <v>00000110</v>
      </c>
      <c r="Q27">
        <v>2</v>
      </c>
      <c r="R27" s="17" t="str">
        <f t="shared" si="15"/>
        <v>Software version communication electronics</v>
      </c>
      <c r="S27" s="17">
        <v>0</v>
      </c>
      <c r="T27">
        <v>0</v>
      </c>
      <c r="U27" s="17" t="s">
        <v>180</v>
      </c>
      <c r="AG27" s="53" t="s">
        <v>294</v>
      </c>
      <c r="AH27" s="53">
        <v>25</v>
      </c>
    </row>
    <row r="28" spans="1:34" ht="30" x14ac:dyDescent="0.25">
      <c r="E28" t="str">
        <f>RIGHT(E27,2)</f>
        <v>11</v>
      </c>
      <c r="G28" t="str">
        <f>RIGHT(G27,2)</f>
        <v>11</v>
      </c>
      <c r="H28" s="22">
        <v>7</v>
      </c>
      <c r="I28" s="23" t="s">
        <v>59</v>
      </c>
      <c r="J28" s="28" t="str">
        <f t="shared" si="16"/>
        <v>111</v>
      </c>
      <c r="K28" s="26">
        <f t="shared" si="17"/>
        <v>111</v>
      </c>
      <c r="L28" s="22" t="str">
        <f t="shared" si="18"/>
        <v>0000000000000111</v>
      </c>
      <c r="M28" s="22" t="str">
        <f t="shared" si="19"/>
        <v>00000000111</v>
      </c>
      <c r="N28" s="27" t="str">
        <f t="shared" si="20"/>
        <v>000</v>
      </c>
      <c r="O28" s="27" t="str">
        <f t="shared" si="21"/>
        <v>00000111</v>
      </c>
      <c r="Q28">
        <v>3</v>
      </c>
      <c r="R28" s="17" t="str">
        <f t="shared" si="15"/>
        <v>Actual frequency</v>
      </c>
      <c r="S28" s="17">
        <v>0</v>
      </c>
      <c r="T28">
        <v>0</v>
      </c>
      <c r="U28" s="17" t="s">
        <v>180</v>
      </c>
      <c r="AG28" s="53" t="s">
        <v>295</v>
      </c>
      <c r="AH28" s="53">
        <v>26</v>
      </c>
    </row>
    <row r="29" spans="1:34" ht="16.5" customHeight="1" x14ac:dyDescent="0.25">
      <c r="H29" s="22">
        <v>8</v>
      </c>
      <c r="I29" s="23" t="s">
        <v>60</v>
      </c>
      <c r="J29" s="28" t="str">
        <f t="shared" si="16"/>
        <v>1000</v>
      </c>
      <c r="K29" s="26">
        <f t="shared" si="17"/>
        <v>1000</v>
      </c>
      <c r="L29" s="22" t="str">
        <f t="shared" si="18"/>
        <v>0000000000001000</v>
      </c>
      <c r="M29" s="22" t="str">
        <f t="shared" si="19"/>
        <v>00000001000</v>
      </c>
      <c r="N29" s="27" t="str">
        <f t="shared" si="20"/>
        <v>000</v>
      </c>
      <c r="O29" s="27" t="str">
        <f t="shared" si="21"/>
        <v>00001000</v>
      </c>
      <c r="Q29">
        <v>4</v>
      </c>
      <c r="R29" s="17" t="str">
        <f t="shared" si="15"/>
        <v>Actual intermediate circuit voltage</v>
      </c>
      <c r="S29" s="17">
        <v>0</v>
      </c>
      <c r="T29">
        <v>0</v>
      </c>
      <c r="U29" s="17" t="s">
        <v>180</v>
      </c>
      <c r="AG29" s="53" t="s">
        <v>296</v>
      </c>
      <c r="AH29" s="53">
        <v>27</v>
      </c>
    </row>
    <row r="30" spans="1:34" ht="45" x14ac:dyDescent="0.25">
      <c r="H30" s="22">
        <v>11</v>
      </c>
      <c r="I30" s="23" t="s">
        <v>61</v>
      </c>
      <c r="J30" s="28" t="str">
        <f t="shared" si="16"/>
        <v>1011</v>
      </c>
      <c r="K30" s="26">
        <f t="shared" si="17"/>
        <v>1011</v>
      </c>
      <c r="L30" s="22" t="str">
        <f t="shared" si="18"/>
        <v>0000000000001011</v>
      </c>
      <c r="M30" s="22" t="str">
        <f t="shared" si="19"/>
        <v>00000001011</v>
      </c>
      <c r="N30" s="27" t="str">
        <f t="shared" si="20"/>
        <v>000</v>
      </c>
      <c r="O30" s="27" t="str">
        <f t="shared" si="21"/>
        <v>00001011</v>
      </c>
      <c r="Q30">
        <v>5</v>
      </c>
      <c r="R30" s="17" t="str">
        <f t="shared" si="15"/>
        <v>Actual motor current</v>
      </c>
      <c r="S30" s="17">
        <v>0</v>
      </c>
      <c r="T30">
        <v>0</v>
      </c>
      <c r="U30" s="17" t="s">
        <v>180</v>
      </c>
      <c r="AG30" s="53" t="s">
        <v>297</v>
      </c>
      <c r="AH30" s="53">
        <v>28</v>
      </c>
    </row>
    <row r="31" spans="1:34" ht="60" x14ac:dyDescent="0.25">
      <c r="H31" s="22">
        <v>16</v>
      </c>
      <c r="I31" s="23" t="s">
        <v>62</v>
      </c>
      <c r="J31" s="28" t="str">
        <f t="shared" si="16"/>
        <v>10000</v>
      </c>
      <c r="K31" s="26">
        <f t="shared" si="17"/>
        <v>10000</v>
      </c>
      <c r="L31" s="22" t="str">
        <f t="shared" si="18"/>
        <v>0000000000010000</v>
      </c>
      <c r="M31" s="22" t="str">
        <f t="shared" si="19"/>
        <v>00000010000</v>
      </c>
      <c r="N31" s="27" t="str">
        <f t="shared" si="20"/>
        <v>000</v>
      </c>
      <c r="O31" s="27" t="str">
        <f t="shared" si="21"/>
        <v>00010000</v>
      </c>
      <c r="Q31">
        <v>6</v>
      </c>
      <c r="R31" s="17" t="str">
        <f t="shared" si="15"/>
        <v>Actual drive input power</v>
      </c>
      <c r="S31" s="17">
        <v>0</v>
      </c>
      <c r="T31">
        <v>0</v>
      </c>
      <c r="U31" s="17" t="s">
        <v>180</v>
      </c>
      <c r="AG31" s="53" t="s">
        <v>298</v>
      </c>
      <c r="AH31" s="53">
        <v>29</v>
      </c>
    </row>
    <row r="32" spans="1:34" ht="45" x14ac:dyDescent="0.25">
      <c r="H32" s="22">
        <v>17</v>
      </c>
      <c r="I32" s="23" t="s">
        <v>63</v>
      </c>
      <c r="J32" s="28" t="str">
        <f t="shared" si="16"/>
        <v>10001</v>
      </c>
      <c r="K32" s="26">
        <f t="shared" si="17"/>
        <v>10001</v>
      </c>
      <c r="L32" s="22" t="str">
        <f t="shared" si="18"/>
        <v>0000000000010001</v>
      </c>
      <c r="M32" s="22" t="str">
        <f t="shared" si="19"/>
        <v>00000010001</v>
      </c>
      <c r="N32" s="27" t="str">
        <f t="shared" si="20"/>
        <v>000</v>
      </c>
      <c r="O32" s="27" t="str">
        <f t="shared" si="21"/>
        <v>00010001</v>
      </c>
      <c r="Q32">
        <v>7</v>
      </c>
      <c r="R32" s="17" t="str">
        <f t="shared" si="15"/>
        <v>Actual motor temperature</v>
      </c>
      <c r="S32" s="17">
        <v>0</v>
      </c>
      <c r="T32">
        <v>0</v>
      </c>
      <c r="U32" s="17" t="s">
        <v>180</v>
      </c>
      <c r="AG32" s="53" t="s">
        <v>299</v>
      </c>
      <c r="AH32" s="53">
        <v>30</v>
      </c>
    </row>
    <row r="33" spans="8:34" ht="30" x14ac:dyDescent="0.25">
      <c r="H33" s="22">
        <v>18</v>
      </c>
      <c r="I33" s="23" t="s">
        <v>64</v>
      </c>
      <c r="J33" s="28" t="str">
        <f t="shared" si="16"/>
        <v>10010</v>
      </c>
      <c r="K33" s="26">
        <f t="shared" si="17"/>
        <v>10010</v>
      </c>
      <c r="L33" s="22" t="str">
        <f t="shared" si="18"/>
        <v>0000000000010010</v>
      </c>
      <c r="M33" s="22" t="str">
        <f t="shared" si="19"/>
        <v>00000010010</v>
      </c>
      <c r="N33" s="27" t="str">
        <f t="shared" si="20"/>
        <v>000</v>
      </c>
      <c r="O33" s="27" t="str">
        <f t="shared" si="21"/>
        <v>00010010</v>
      </c>
      <c r="Q33">
        <v>8</v>
      </c>
      <c r="R33" s="17" t="str">
        <f t="shared" si="15"/>
        <v>Save data command</v>
      </c>
      <c r="S33" s="17">
        <v>0</v>
      </c>
      <c r="T33">
        <v>0</v>
      </c>
      <c r="U33" s="17" t="s">
        <v>180</v>
      </c>
      <c r="AG33" s="53" t="s">
        <v>300</v>
      </c>
      <c r="AH33" s="53">
        <v>31</v>
      </c>
    </row>
    <row r="34" spans="8:34" ht="45" x14ac:dyDescent="0.25">
      <c r="H34" s="22">
        <v>19</v>
      </c>
      <c r="I34" s="23" t="s">
        <v>65</v>
      </c>
      <c r="J34" s="28" t="str">
        <f t="shared" si="16"/>
        <v>10011</v>
      </c>
      <c r="K34" s="26">
        <f t="shared" si="17"/>
        <v>10011</v>
      </c>
      <c r="L34" s="22" t="str">
        <f t="shared" si="18"/>
        <v>0000000000010011</v>
      </c>
      <c r="M34" s="22" t="str">
        <f t="shared" si="19"/>
        <v>00000010011</v>
      </c>
      <c r="N34" s="27" t="str">
        <f t="shared" si="20"/>
        <v>000</v>
      </c>
      <c r="O34" s="27" t="str">
        <f t="shared" si="21"/>
        <v>00010011</v>
      </c>
      <c r="Q34">
        <v>11</v>
      </c>
      <c r="R34" s="17" t="str">
        <f t="shared" si="15"/>
        <v>Actual converter temperature</v>
      </c>
      <c r="S34" s="17">
        <v>0</v>
      </c>
      <c r="T34">
        <v>0</v>
      </c>
      <c r="U34" s="17" t="s">
        <v>180</v>
      </c>
      <c r="AG34" s="53" t="s">
        <v>301</v>
      </c>
      <c r="AH34" s="53">
        <v>32</v>
      </c>
    </row>
    <row r="35" spans="8:34" ht="45" x14ac:dyDescent="0.25">
      <c r="H35" s="22">
        <v>20</v>
      </c>
      <c r="I35" s="23" t="s">
        <v>66</v>
      </c>
      <c r="J35" s="28" t="str">
        <f t="shared" si="16"/>
        <v>10100</v>
      </c>
      <c r="K35" s="26">
        <f t="shared" si="17"/>
        <v>10100</v>
      </c>
      <c r="L35" s="22" t="str">
        <f t="shared" si="18"/>
        <v>0000000000010100</v>
      </c>
      <c r="M35" s="22" t="str">
        <f t="shared" si="19"/>
        <v>00000010100</v>
      </c>
      <c r="N35" s="27" t="str">
        <f t="shared" si="20"/>
        <v>000</v>
      </c>
      <c r="O35" s="27" t="str">
        <f t="shared" si="21"/>
        <v>00010100</v>
      </c>
      <c r="Q35">
        <v>16</v>
      </c>
      <c r="R35" s="17" t="str">
        <f t="shared" si="15"/>
        <v>Motor temperature warning threshold</v>
      </c>
      <c r="S35" s="17">
        <v>0</v>
      </c>
      <c r="T35">
        <v>0</v>
      </c>
      <c r="U35" s="17" t="s">
        <v>180</v>
      </c>
      <c r="AG35" s="53" t="s">
        <v>302</v>
      </c>
      <c r="AH35" s="53">
        <v>33</v>
      </c>
    </row>
    <row r="36" spans="8:34" ht="45" x14ac:dyDescent="0.25">
      <c r="H36" s="22">
        <v>21</v>
      </c>
      <c r="I36" s="23" t="s">
        <v>67</v>
      </c>
      <c r="J36" s="28" t="str">
        <f t="shared" si="16"/>
        <v>10101</v>
      </c>
      <c r="K36" s="26">
        <f t="shared" si="17"/>
        <v>10101</v>
      </c>
      <c r="L36" s="22" t="str">
        <f t="shared" si="18"/>
        <v>0000000000010101</v>
      </c>
      <c r="M36" s="22" t="str">
        <f t="shared" si="19"/>
        <v>00000010101</v>
      </c>
      <c r="N36" s="27" t="str">
        <f t="shared" si="20"/>
        <v>000</v>
      </c>
      <c r="O36" s="27" t="str">
        <f t="shared" si="21"/>
        <v>00010101</v>
      </c>
      <c r="Q36">
        <v>17</v>
      </c>
      <c r="R36" s="17" t="str">
        <f t="shared" si="15"/>
        <v>Nominal motor current</v>
      </c>
      <c r="S36" s="17">
        <v>0</v>
      </c>
      <c r="T36">
        <v>0</v>
      </c>
      <c r="U36" s="17" t="s">
        <v>180</v>
      </c>
      <c r="AG36" s="53" t="s">
        <v>303</v>
      </c>
      <c r="AH36" s="53">
        <v>34</v>
      </c>
    </row>
    <row r="37" spans="8:34" ht="45" x14ac:dyDescent="0.25">
      <c r="H37" s="22">
        <v>23</v>
      </c>
      <c r="I37" s="23" t="s">
        <v>68</v>
      </c>
      <c r="J37" s="28" t="str">
        <f t="shared" si="16"/>
        <v>10111</v>
      </c>
      <c r="K37" s="26">
        <f t="shared" si="17"/>
        <v>10111</v>
      </c>
      <c r="L37" s="22" t="str">
        <f t="shared" si="18"/>
        <v>0000000000010111</v>
      </c>
      <c r="M37" s="22" t="str">
        <f t="shared" si="19"/>
        <v>00000010111</v>
      </c>
      <c r="N37" s="27" t="str">
        <f t="shared" si="20"/>
        <v>000</v>
      </c>
      <c r="O37" s="27" t="str">
        <f t="shared" si="21"/>
        <v>00010111</v>
      </c>
      <c r="Q37">
        <v>18</v>
      </c>
      <c r="R37" s="17" t="str">
        <f t="shared" si="15"/>
        <v>Nominal frequency</v>
      </c>
      <c r="S37" s="17">
        <v>0</v>
      </c>
      <c r="T37">
        <v>0</v>
      </c>
      <c r="U37" s="17" t="s">
        <v>180</v>
      </c>
      <c r="AG37" s="53" t="s">
        <v>50</v>
      </c>
      <c r="AH37" s="53">
        <v>35</v>
      </c>
    </row>
    <row r="38" spans="8:34" ht="30" x14ac:dyDescent="0.25">
      <c r="H38" s="22">
        <v>24</v>
      </c>
      <c r="I38" s="23" t="s">
        <v>69</v>
      </c>
      <c r="J38" s="28" t="str">
        <f t="shared" si="16"/>
        <v>11000</v>
      </c>
      <c r="K38" s="26">
        <f t="shared" si="17"/>
        <v>11000</v>
      </c>
      <c r="L38" s="22" t="str">
        <f t="shared" si="18"/>
        <v>0000000000011000</v>
      </c>
      <c r="M38" s="22" t="str">
        <f t="shared" si="19"/>
        <v>00000011000</v>
      </c>
      <c r="N38" s="27" t="str">
        <f t="shared" si="20"/>
        <v>000</v>
      </c>
      <c r="O38" s="27" t="str">
        <f t="shared" si="21"/>
        <v>00011000</v>
      </c>
      <c r="Q38">
        <v>19</v>
      </c>
      <c r="R38" s="17" t="str">
        <f t="shared" si="15"/>
        <v>Minimum nominal frequency</v>
      </c>
      <c r="S38" s="17">
        <v>0</v>
      </c>
      <c r="T38">
        <v>0</v>
      </c>
      <c r="U38" s="17" t="s">
        <v>180</v>
      </c>
      <c r="AG38" s="53" t="s">
        <v>304</v>
      </c>
      <c r="AH38" s="53">
        <v>36</v>
      </c>
    </row>
    <row r="39" spans="8:34" ht="75" x14ac:dyDescent="0.25">
      <c r="H39" s="22">
        <v>25</v>
      </c>
      <c r="I39" s="23" t="s">
        <v>70</v>
      </c>
      <c r="J39" s="28" t="str">
        <f t="shared" si="16"/>
        <v>11001</v>
      </c>
      <c r="K39" s="26">
        <f t="shared" si="17"/>
        <v>11001</v>
      </c>
      <c r="L39" s="22" t="str">
        <f t="shared" si="18"/>
        <v>0000000000011001</v>
      </c>
      <c r="M39" s="22" t="str">
        <f t="shared" si="19"/>
        <v>00000011001</v>
      </c>
      <c r="N39" s="27" t="str">
        <f t="shared" si="20"/>
        <v>000</v>
      </c>
      <c r="O39" s="27" t="str">
        <f t="shared" si="21"/>
        <v>00011001</v>
      </c>
      <c r="Q39">
        <v>20</v>
      </c>
      <c r="R39" s="17" t="str">
        <f t="shared" si="15"/>
        <v>Minimum frequency level</v>
      </c>
      <c r="S39" s="17">
        <v>0</v>
      </c>
      <c r="T39">
        <v>0</v>
      </c>
      <c r="U39" s="17" t="s">
        <v>180</v>
      </c>
      <c r="AG39" s="53" t="s">
        <v>305</v>
      </c>
      <c r="AH39" s="53">
        <v>37</v>
      </c>
    </row>
    <row r="40" spans="8:34" ht="105" x14ac:dyDescent="0.25">
      <c r="H40" s="22">
        <v>26</v>
      </c>
      <c r="I40" s="23" t="s">
        <v>79</v>
      </c>
      <c r="J40" s="28" t="str">
        <f t="shared" si="16"/>
        <v>11010</v>
      </c>
      <c r="K40" s="26">
        <f t="shared" si="17"/>
        <v>11010</v>
      </c>
      <c r="L40" s="22" t="str">
        <f t="shared" si="18"/>
        <v>0000000000011010</v>
      </c>
      <c r="M40" s="22" t="str">
        <f t="shared" si="19"/>
        <v>00000011010</v>
      </c>
      <c r="N40" s="27" t="str">
        <f t="shared" si="20"/>
        <v>000</v>
      </c>
      <c r="O40" s="27" t="str">
        <f t="shared" si="21"/>
        <v>00011010</v>
      </c>
      <c r="Q40">
        <v>21</v>
      </c>
      <c r="R40" s="17" t="str">
        <f t="shared" si="15"/>
        <v>Motor current threshold</v>
      </c>
      <c r="S40" s="17">
        <v>0</v>
      </c>
      <c r="T40">
        <v>0</v>
      </c>
      <c r="U40" s="17" t="s">
        <v>180</v>
      </c>
      <c r="AG40" s="53" t="s">
        <v>306</v>
      </c>
      <c r="AH40" s="53">
        <v>38</v>
      </c>
    </row>
    <row r="41" spans="8:34" ht="105" x14ac:dyDescent="0.25">
      <c r="H41" s="22">
        <v>27</v>
      </c>
      <c r="I41" s="23" t="s">
        <v>80</v>
      </c>
      <c r="J41" s="28" t="str">
        <f t="shared" si="16"/>
        <v>11011</v>
      </c>
      <c r="K41" s="26">
        <f t="shared" si="17"/>
        <v>11011</v>
      </c>
      <c r="L41" s="22" t="str">
        <f t="shared" si="18"/>
        <v>0000000000011011</v>
      </c>
      <c r="M41" s="22" t="str">
        <f t="shared" si="19"/>
        <v>00000011011</v>
      </c>
      <c r="N41" s="27" t="str">
        <f t="shared" si="20"/>
        <v>000</v>
      </c>
      <c r="O41" s="27" t="str">
        <f t="shared" si="21"/>
        <v>00011011</v>
      </c>
      <c r="Q41">
        <v>23</v>
      </c>
      <c r="R41" s="17" t="str">
        <f t="shared" si="15"/>
        <v>Pump type/Rotor type</v>
      </c>
      <c r="S41" s="17">
        <v>0</v>
      </c>
      <c r="T41">
        <v>0</v>
      </c>
      <c r="U41" s="17" t="s">
        <v>181</v>
      </c>
      <c r="AG41" s="53" t="s">
        <v>307</v>
      </c>
      <c r="AH41" s="53">
        <v>39</v>
      </c>
    </row>
    <row r="42" spans="8:34" ht="105" x14ac:dyDescent="0.25">
      <c r="H42" s="22">
        <v>28</v>
      </c>
      <c r="I42" s="23" t="s">
        <v>81</v>
      </c>
      <c r="J42" s="28" t="str">
        <f t="shared" si="16"/>
        <v>11100</v>
      </c>
      <c r="K42" s="26">
        <f t="shared" si="17"/>
        <v>11100</v>
      </c>
      <c r="L42" s="22" t="str">
        <f t="shared" si="18"/>
        <v>0000000000011100</v>
      </c>
      <c r="M42" s="22" t="str">
        <f t="shared" si="19"/>
        <v>00000011100</v>
      </c>
      <c r="N42" s="27" t="str">
        <f t="shared" si="20"/>
        <v>000</v>
      </c>
      <c r="O42" s="27" t="str">
        <f t="shared" si="21"/>
        <v>00011100</v>
      </c>
      <c r="Q42">
        <v>23</v>
      </c>
      <c r="R42" s="17" t="str">
        <f t="shared" si="15"/>
        <v>Pump type/Rotor type</v>
      </c>
      <c r="S42" s="17">
        <v>0</v>
      </c>
      <c r="T42">
        <v>1</v>
      </c>
      <c r="U42" s="17" t="s">
        <v>182</v>
      </c>
      <c r="AG42" s="53" t="s">
        <v>308</v>
      </c>
      <c r="AH42" s="53">
        <v>40</v>
      </c>
    </row>
    <row r="43" spans="8:34" ht="60" x14ac:dyDescent="0.25">
      <c r="H43" s="22">
        <v>29</v>
      </c>
      <c r="I43" s="23" t="s">
        <v>82</v>
      </c>
      <c r="J43" s="28" t="str">
        <f t="shared" si="16"/>
        <v>11101</v>
      </c>
      <c r="K43" s="26">
        <f t="shared" si="17"/>
        <v>11101</v>
      </c>
      <c r="L43" s="22" t="str">
        <f t="shared" si="18"/>
        <v>0000000000011101</v>
      </c>
      <c r="M43" s="22" t="str">
        <f t="shared" si="19"/>
        <v>00000011101</v>
      </c>
      <c r="N43" s="27" t="str">
        <f t="shared" si="20"/>
        <v>000</v>
      </c>
      <c r="O43" s="27" t="str">
        <f t="shared" si="21"/>
        <v>00011101</v>
      </c>
      <c r="Q43">
        <v>23</v>
      </c>
      <c r="R43" s="17" t="str">
        <f t="shared" si="15"/>
        <v>Pump type/Rotor type</v>
      </c>
      <c r="S43" s="17">
        <v>0</v>
      </c>
      <c r="T43">
        <v>2</v>
      </c>
      <c r="U43" s="17" t="s">
        <v>183</v>
      </c>
      <c r="AG43" s="53" t="s">
        <v>309</v>
      </c>
      <c r="AH43" s="53">
        <v>41</v>
      </c>
    </row>
    <row r="44" spans="8:34" ht="45" x14ac:dyDescent="0.25">
      <c r="H44" s="22">
        <v>30</v>
      </c>
      <c r="I44" s="23" t="s">
        <v>83</v>
      </c>
      <c r="J44" s="28" t="str">
        <f t="shared" si="16"/>
        <v>11110</v>
      </c>
      <c r="K44" s="26">
        <f t="shared" si="17"/>
        <v>11110</v>
      </c>
      <c r="L44" s="22" t="str">
        <f t="shared" si="18"/>
        <v>0000000000011110</v>
      </c>
      <c r="M44" s="22" t="str">
        <f t="shared" si="19"/>
        <v>00000011110</v>
      </c>
      <c r="N44" s="27" t="str">
        <f t="shared" si="20"/>
        <v>000</v>
      </c>
      <c r="O44" s="27" t="str">
        <f t="shared" si="21"/>
        <v>00011110</v>
      </c>
      <c r="Q44">
        <v>24</v>
      </c>
      <c r="R44" s="17" t="str">
        <f t="shared" si="15"/>
        <v>Setpoint frequency</v>
      </c>
      <c r="S44" s="17">
        <v>0</v>
      </c>
      <c r="T44">
        <v>0</v>
      </c>
      <c r="U44" s="17" t="s">
        <v>180</v>
      </c>
      <c r="AG44" s="53" t="s">
        <v>310</v>
      </c>
      <c r="AH44" s="53">
        <v>42</v>
      </c>
    </row>
    <row r="45" spans="8:34" ht="120" x14ac:dyDescent="0.25">
      <c r="H45" s="22">
        <v>31</v>
      </c>
      <c r="I45" s="23" t="s">
        <v>84</v>
      </c>
      <c r="J45" s="28" t="str">
        <f t="shared" si="16"/>
        <v>11111</v>
      </c>
      <c r="K45" s="26">
        <f t="shared" si="17"/>
        <v>11111</v>
      </c>
      <c r="L45" s="22" t="str">
        <f t="shared" si="18"/>
        <v>0000000000011111</v>
      </c>
      <c r="M45" s="22" t="str">
        <f t="shared" si="19"/>
        <v>00000011111</v>
      </c>
      <c r="N45" s="27" t="str">
        <f t="shared" si="20"/>
        <v>000</v>
      </c>
      <c r="O45" s="27" t="str">
        <f t="shared" si="21"/>
        <v>00011111</v>
      </c>
      <c r="Q45">
        <v>25</v>
      </c>
      <c r="R45" s="17" t="str">
        <f t="shared" si="15"/>
        <v>Frequency dependent normal operation threshold</v>
      </c>
      <c r="S45" s="17">
        <v>0</v>
      </c>
      <c r="T45">
        <v>0</v>
      </c>
      <c r="U45" s="17" t="s">
        <v>180</v>
      </c>
      <c r="AG45" s="53" t="s">
        <v>311</v>
      </c>
      <c r="AH45" s="53">
        <v>43</v>
      </c>
    </row>
    <row r="46" spans="8:34" ht="30" x14ac:dyDescent="0.25">
      <c r="H46" s="22">
        <v>32</v>
      </c>
      <c r="I46" s="23" t="s">
        <v>85</v>
      </c>
      <c r="J46" s="28" t="str">
        <f t="shared" si="16"/>
        <v>100000</v>
      </c>
      <c r="K46" s="26">
        <f t="shared" si="17"/>
        <v>100000</v>
      </c>
      <c r="L46" s="22" t="str">
        <f t="shared" si="18"/>
        <v>0000000000100000</v>
      </c>
      <c r="M46" s="22" t="str">
        <f t="shared" si="19"/>
        <v>00000100000</v>
      </c>
      <c r="N46" s="27" t="str">
        <f t="shared" si="20"/>
        <v>000</v>
      </c>
      <c r="O46" s="27" t="str">
        <f t="shared" si="21"/>
        <v>00100000</v>
      </c>
      <c r="Q46">
        <v>26</v>
      </c>
      <c r="R46" s="17" t="str">
        <f t="shared" si="15"/>
        <v>Lower temperature switching threshold (for TURBOVAC iX only)</v>
      </c>
      <c r="S46" s="17">
        <v>0</v>
      </c>
      <c r="T46">
        <v>0</v>
      </c>
      <c r="U46" s="17" t="s">
        <v>184</v>
      </c>
      <c r="AG46" s="53" t="s">
        <v>312</v>
      </c>
      <c r="AH46" s="53">
        <v>44</v>
      </c>
    </row>
    <row r="47" spans="8:34" ht="30" x14ac:dyDescent="0.25">
      <c r="H47" s="22">
        <v>36</v>
      </c>
      <c r="I47" s="23" t="s">
        <v>86</v>
      </c>
      <c r="J47" s="28" t="str">
        <f t="shared" si="16"/>
        <v>100100</v>
      </c>
      <c r="K47" s="26">
        <f t="shared" si="17"/>
        <v>100100</v>
      </c>
      <c r="L47" s="22" t="str">
        <f t="shared" si="18"/>
        <v>0000000000100100</v>
      </c>
      <c r="M47" s="22" t="str">
        <f t="shared" si="19"/>
        <v>00000100100</v>
      </c>
      <c r="N47" s="27" t="str">
        <f t="shared" si="20"/>
        <v>000</v>
      </c>
      <c r="O47" s="27" t="str">
        <f t="shared" si="21"/>
        <v>00100100</v>
      </c>
      <c r="Q47">
        <v>26</v>
      </c>
      <c r="R47" s="17" t="str">
        <f t="shared" si="15"/>
        <v>Lower temperature switching threshold (for TURBOVAC iX only)</v>
      </c>
      <c r="S47" s="17">
        <v>0</v>
      </c>
      <c r="T47">
        <v>1</v>
      </c>
      <c r="U47" s="17" t="s">
        <v>185</v>
      </c>
      <c r="AG47" s="53" t="s">
        <v>313</v>
      </c>
      <c r="AH47" s="53">
        <v>45</v>
      </c>
    </row>
    <row r="48" spans="8:34" ht="30" x14ac:dyDescent="0.25">
      <c r="H48" s="22">
        <v>37</v>
      </c>
      <c r="I48" s="23" t="s">
        <v>87</v>
      </c>
      <c r="J48" s="28" t="str">
        <f t="shared" si="16"/>
        <v>100101</v>
      </c>
      <c r="K48" s="26">
        <f t="shared" si="17"/>
        <v>100101</v>
      </c>
      <c r="L48" s="22" t="str">
        <f t="shared" si="18"/>
        <v>0000000000100101</v>
      </c>
      <c r="M48" s="22" t="str">
        <f t="shared" si="19"/>
        <v>00000100101</v>
      </c>
      <c r="N48" s="27" t="str">
        <f t="shared" si="20"/>
        <v>000</v>
      </c>
      <c r="O48" s="27" t="str">
        <f t="shared" si="21"/>
        <v>00100101</v>
      </c>
      <c r="Q48">
        <v>26</v>
      </c>
      <c r="R48" s="17" t="str">
        <f t="shared" si="15"/>
        <v>Lower temperature switching threshold (for TURBOVAC iX only)</v>
      </c>
      <c r="S48" s="17">
        <v>0</v>
      </c>
      <c r="T48">
        <v>2</v>
      </c>
      <c r="U48" s="17" t="s">
        <v>186</v>
      </c>
      <c r="AG48" s="53" t="s">
        <v>314</v>
      </c>
      <c r="AH48" s="53">
        <v>46</v>
      </c>
    </row>
    <row r="49" spans="8:34" ht="45" x14ac:dyDescent="0.25">
      <c r="H49" s="22">
        <v>38</v>
      </c>
      <c r="I49" s="23" t="s">
        <v>88</v>
      </c>
      <c r="J49" s="28" t="str">
        <f t="shared" si="16"/>
        <v>100110</v>
      </c>
      <c r="K49" s="26">
        <f t="shared" si="17"/>
        <v>100110</v>
      </c>
      <c r="L49" s="22" t="str">
        <f t="shared" si="18"/>
        <v>0000000000100110</v>
      </c>
      <c r="M49" s="22" t="str">
        <f t="shared" si="19"/>
        <v>00000100110</v>
      </c>
      <c r="N49" s="27" t="str">
        <f t="shared" si="20"/>
        <v>000</v>
      </c>
      <c r="O49" s="27" t="str">
        <f t="shared" si="21"/>
        <v>00100110</v>
      </c>
      <c r="Q49">
        <v>27</v>
      </c>
      <c r="R49" s="17" t="str">
        <f t="shared" si="15"/>
        <v>Upper current switching threshold (for TURBOVAC iX only)</v>
      </c>
      <c r="S49" s="17">
        <v>0</v>
      </c>
      <c r="T49">
        <v>0</v>
      </c>
      <c r="U49" s="17" t="s">
        <v>184</v>
      </c>
      <c r="AG49" s="53" t="s">
        <v>315</v>
      </c>
      <c r="AH49" s="53">
        <v>47</v>
      </c>
    </row>
    <row r="50" spans="8:34" ht="30" x14ac:dyDescent="0.25">
      <c r="H50" s="22">
        <v>40</v>
      </c>
      <c r="I50" s="23" t="s">
        <v>89</v>
      </c>
      <c r="J50" s="28" t="str">
        <f t="shared" si="16"/>
        <v>101000</v>
      </c>
      <c r="K50" s="26">
        <f t="shared" si="17"/>
        <v>101000</v>
      </c>
      <c r="L50" s="22" t="str">
        <f t="shared" si="18"/>
        <v>0000000000101000</v>
      </c>
      <c r="M50" s="22" t="str">
        <f t="shared" si="19"/>
        <v>00000101000</v>
      </c>
      <c r="N50" s="27" t="str">
        <f t="shared" si="20"/>
        <v>000</v>
      </c>
      <c r="O50" s="27" t="str">
        <f t="shared" si="21"/>
        <v>00101000</v>
      </c>
      <c r="Q50">
        <v>27</v>
      </c>
      <c r="R50" s="17" t="str">
        <f t="shared" si="15"/>
        <v>Upper current switching threshold (for TURBOVAC iX only)</v>
      </c>
      <c r="S50" s="17">
        <v>0</v>
      </c>
      <c r="T50">
        <v>1</v>
      </c>
      <c r="U50" s="17" t="s">
        <v>185</v>
      </c>
      <c r="AG50" s="53" t="s">
        <v>316</v>
      </c>
      <c r="AH50" s="53">
        <v>48</v>
      </c>
    </row>
    <row r="51" spans="8:34" ht="30" x14ac:dyDescent="0.25">
      <c r="H51" s="22">
        <v>41</v>
      </c>
      <c r="I51" s="23" t="s">
        <v>90</v>
      </c>
      <c r="J51" s="28" t="str">
        <f t="shared" si="16"/>
        <v>101001</v>
      </c>
      <c r="K51" s="26">
        <f t="shared" si="17"/>
        <v>101001</v>
      </c>
      <c r="L51" s="22" t="str">
        <f t="shared" si="18"/>
        <v>0000000000101001</v>
      </c>
      <c r="M51" s="22" t="str">
        <f t="shared" si="19"/>
        <v>00000101001</v>
      </c>
      <c r="N51" s="27" t="str">
        <f t="shared" si="20"/>
        <v>000</v>
      </c>
      <c r="O51" s="27" t="str">
        <f t="shared" si="21"/>
        <v>00101001</v>
      </c>
      <c r="Q51">
        <v>27</v>
      </c>
      <c r="R51" s="17" t="str">
        <f t="shared" si="15"/>
        <v>Upper current switching threshold (for TURBOVAC iX only)</v>
      </c>
      <c r="S51" s="17">
        <v>0</v>
      </c>
      <c r="T51">
        <v>2</v>
      </c>
      <c r="U51" s="17" t="s">
        <v>186</v>
      </c>
      <c r="AG51" s="53" t="s">
        <v>317</v>
      </c>
      <c r="AH51" s="53">
        <v>49</v>
      </c>
    </row>
    <row r="52" spans="8:34" ht="30" x14ac:dyDescent="0.25">
      <c r="H52" s="22">
        <v>43</v>
      </c>
      <c r="I52" s="23" t="s">
        <v>91</v>
      </c>
      <c r="J52" s="28" t="str">
        <f t="shared" si="16"/>
        <v>101011</v>
      </c>
      <c r="K52" s="26">
        <f t="shared" si="17"/>
        <v>101011</v>
      </c>
      <c r="L52" s="22" t="str">
        <f t="shared" si="18"/>
        <v>0000000000101011</v>
      </c>
      <c r="M52" s="22" t="str">
        <f t="shared" si="19"/>
        <v>00000101011</v>
      </c>
      <c r="N52" s="27" t="str">
        <f t="shared" si="20"/>
        <v>000</v>
      </c>
      <c r="O52" s="27" t="str">
        <f t="shared" si="21"/>
        <v>00101011</v>
      </c>
      <c r="Q52">
        <v>28</v>
      </c>
      <c r="R52" s="17" t="str">
        <f t="shared" si="15"/>
        <v>Upper frequency switching threshold (for TURBOVAC iX only)</v>
      </c>
      <c r="S52" s="17">
        <v>0</v>
      </c>
      <c r="T52">
        <v>0</v>
      </c>
      <c r="U52" s="17" t="s">
        <v>184</v>
      </c>
      <c r="AG52" s="53" t="s">
        <v>318</v>
      </c>
      <c r="AH52" s="53">
        <v>50</v>
      </c>
    </row>
    <row r="53" spans="8:34" ht="47.25" customHeight="1" x14ac:dyDescent="0.25">
      <c r="H53" s="22">
        <v>119</v>
      </c>
      <c r="I53" s="23" t="s">
        <v>92</v>
      </c>
      <c r="J53" s="28" t="str">
        <f t="shared" si="16"/>
        <v>1110111</v>
      </c>
      <c r="K53" s="26">
        <f t="shared" si="17"/>
        <v>1110111</v>
      </c>
      <c r="L53" s="22" t="str">
        <f t="shared" si="18"/>
        <v>0000000001110111</v>
      </c>
      <c r="M53" s="22" t="str">
        <f t="shared" si="19"/>
        <v>00001110111</v>
      </c>
      <c r="N53" s="27" t="str">
        <f t="shared" si="20"/>
        <v>000</v>
      </c>
      <c r="O53" s="27" t="str">
        <f t="shared" si="21"/>
        <v>01110111</v>
      </c>
      <c r="Q53">
        <v>28</v>
      </c>
      <c r="R53" s="17" t="str">
        <f t="shared" ref="R53:R84" si="22">VLOOKUP(Q53,$H$20:$I$128,2,FALSE)</f>
        <v>Upper frequency switching threshold (for TURBOVAC iX only)</v>
      </c>
      <c r="S53" s="17">
        <v>0</v>
      </c>
      <c r="T53">
        <v>1</v>
      </c>
      <c r="U53" s="17" t="s">
        <v>185</v>
      </c>
      <c r="AG53" s="53" t="s">
        <v>319</v>
      </c>
      <c r="AH53" s="53">
        <v>51</v>
      </c>
    </row>
    <row r="54" spans="8:34" ht="120" x14ac:dyDescent="0.25">
      <c r="H54" s="22">
        <v>122</v>
      </c>
      <c r="I54" s="23" t="s">
        <v>93</v>
      </c>
      <c r="J54" s="28" t="str">
        <f t="shared" si="16"/>
        <v>1111010</v>
      </c>
      <c r="K54" s="26">
        <f t="shared" si="17"/>
        <v>1111010</v>
      </c>
      <c r="L54" s="22" t="str">
        <f t="shared" si="18"/>
        <v>0000000001111010</v>
      </c>
      <c r="M54" s="22" t="str">
        <f t="shared" si="19"/>
        <v>00001111010</v>
      </c>
      <c r="N54" s="27" t="str">
        <f t="shared" si="20"/>
        <v>000</v>
      </c>
      <c r="O54" s="27" t="str">
        <f t="shared" si="21"/>
        <v>01111010</v>
      </c>
      <c r="Q54">
        <v>28</v>
      </c>
      <c r="R54" s="17" t="str">
        <f t="shared" si="22"/>
        <v>Upper frequency switching threshold (for TURBOVAC iX only)</v>
      </c>
      <c r="S54" s="17">
        <v>0</v>
      </c>
      <c r="T54">
        <v>2</v>
      </c>
      <c r="U54" s="17" t="s">
        <v>186</v>
      </c>
      <c r="AG54" s="53" t="s">
        <v>320</v>
      </c>
      <c r="AH54" s="53">
        <v>52</v>
      </c>
    </row>
    <row r="55" spans="8:34" ht="45" x14ac:dyDescent="0.25">
      <c r="H55" s="22">
        <v>125</v>
      </c>
      <c r="I55" s="23" t="s">
        <v>94</v>
      </c>
      <c r="J55" s="28" t="str">
        <f t="shared" si="16"/>
        <v>1111101</v>
      </c>
      <c r="K55" s="26">
        <f t="shared" si="17"/>
        <v>1111101</v>
      </c>
      <c r="L55" s="22" t="str">
        <f t="shared" si="18"/>
        <v>0000000001111101</v>
      </c>
      <c r="M55" s="22" t="str">
        <f t="shared" si="19"/>
        <v>00001111101</v>
      </c>
      <c r="N55" s="27" t="str">
        <f t="shared" si="20"/>
        <v>000</v>
      </c>
      <c r="O55" s="27" t="str">
        <f t="shared" si="21"/>
        <v>01111101</v>
      </c>
      <c r="Q55">
        <v>29</v>
      </c>
      <c r="R55" s="17" t="str">
        <f t="shared" si="22"/>
        <v>Relay function selection on X1</v>
      </c>
      <c r="S55" s="17" t="s">
        <v>196</v>
      </c>
      <c r="T55">
        <v>0</v>
      </c>
      <c r="U55" s="17" t="s">
        <v>187</v>
      </c>
      <c r="AG55" s="53" t="s">
        <v>321</v>
      </c>
      <c r="AH55" s="53">
        <v>53</v>
      </c>
    </row>
    <row r="56" spans="8:34" ht="60" x14ac:dyDescent="0.25">
      <c r="H56" s="22">
        <v>126</v>
      </c>
      <c r="I56" s="23" t="s">
        <v>95</v>
      </c>
      <c r="J56" s="28" t="str">
        <f t="shared" si="16"/>
        <v>1111110</v>
      </c>
      <c r="K56" s="26">
        <f t="shared" si="17"/>
        <v>1111110</v>
      </c>
      <c r="L56" s="22" t="str">
        <f t="shared" si="18"/>
        <v>0000000001111110</v>
      </c>
      <c r="M56" s="22" t="str">
        <f t="shared" si="19"/>
        <v>00001111110</v>
      </c>
      <c r="N56" s="27" t="str">
        <f t="shared" si="20"/>
        <v>000</v>
      </c>
      <c r="O56" s="27" t="str">
        <f t="shared" si="21"/>
        <v>01111110</v>
      </c>
      <c r="Q56">
        <v>29</v>
      </c>
      <c r="R56" s="17" t="str">
        <f t="shared" si="22"/>
        <v>Relay function selection on X1</v>
      </c>
      <c r="S56" s="17" t="s">
        <v>196</v>
      </c>
      <c r="T56">
        <v>1</v>
      </c>
      <c r="U56" s="17" t="s">
        <v>188</v>
      </c>
      <c r="AG56" s="53" t="s">
        <v>322</v>
      </c>
      <c r="AH56" s="53">
        <v>54</v>
      </c>
    </row>
    <row r="57" spans="8:34" ht="75" x14ac:dyDescent="0.25">
      <c r="H57" s="22">
        <v>128</v>
      </c>
      <c r="I57" s="23" t="s">
        <v>96</v>
      </c>
      <c r="J57" s="28" t="str">
        <f t="shared" si="16"/>
        <v>10000000</v>
      </c>
      <c r="K57" s="26">
        <f t="shared" si="17"/>
        <v>10000000</v>
      </c>
      <c r="L57" s="22" t="str">
        <f t="shared" si="18"/>
        <v>0000000010000000</v>
      </c>
      <c r="M57" s="22" t="str">
        <f t="shared" si="19"/>
        <v>00010000000</v>
      </c>
      <c r="N57" s="27" t="str">
        <f t="shared" si="20"/>
        <v>000</v>
      </c>
      <c r="O57" s="27" t="str">
        <f t="shared" si="21"/>
        <v>10000000</v>
      </c>
      <c r="Q57">
        <v>29</v>
      </c>
      <c r="R57" s="17" t="str">
        <f t="shared" si="22"/>
        <v>Relay function selection on X1</v>
      </c>
      <c r="S57" s="17" t="s">
        <v>196</v>
      </c>
      <c r="T57">
        <v>2</v>
      </c>
      <c r="U57" s="17" t="s">
        <v>189</v>
      </c>
      <c r="AG57" s="53" t="s">
        <v>323</v>
      </c>
      <c r="AH57" s="53">
        <v>55</v>
      </c>
    </row>
    <row r="58" spans="8:34" ht="60" x14ac:dyDescent="0.25">
      <c r="H58" s="22">
        <v>131</v>
      </c>
      <c r="I58" s="23" t="s">
        <v>97</v>
      </c>
      <c r="J58" s="28" t="str">
        <f t="shared" si="16"/>
        <v>10000011</v>
      </c>
      <c r="K58" s="26">
        <f t="shared" si="17"/>
        <v>10000011</v>
      </c>
      <c r="L58" s="22" t="str">
        <f t="shared" si="18"/>
        <v>0000000010000011</v>
      </c>
      <c r="M58" s="22" t="str">
        <f t="shared" si="19"/>
        <v>00010000011</v>
      </c>
      <c r="N58" s="27" t="str">
        <f t="shared" si="20"/>
        <v>000</v>
      </c>
      <c r="O58" s="27" t="str">
        <f t="shared" si="21"/>
        <v>10000011</v>
      </c>
      <c r="Q58">
        <v>29</v>
      </c>
      <c r="R58" s="17" t="str">
        <f t="shared" si="22"/>
        <v>Relay function selection on X1</v>
      </c>
      <c r="S58" s="17" t="s">
        <v>196</v>
      </c>
      <c r="T58">
        <v>3</v>
      </c>
      <c r="U58" s="17" t="s">
        <v>190</v>
      </c>
      <c r="AG58" s="53" t="s">
        <v>324</v>
      </c>
      <c r="AH58" s="53">
        <v>56</v>
      </c>
    </row>
    <row r="59" spans="8:34" ht="60" x14ac:dyDescent="0.25">
      <c r="H59" s="22">
        <v>132</v>
      </c>
      <c r="I59" s="23" t="s">
        <v>98</v>
      </c>
      <c r="J59" s="28" t="str">
        <f t="shared" si="16"/>
        <v>10000100</v>
      </c>
      <c r="K59" s="26">
        <f t="shared" si="17"/>
        <v>10000100</v>
      </c>
      <c r="L59" s="22" t="str">
        <f t="shared" si="18"/>
        <v>0000000010000100</v>
      </c>
      <c r="M59" s="22" t="str">
        <f t="shared" si="19"/>
        <v>00010000100</v>
      </c>
      <c r="N59" s="27" t="str">
        <f t="shared" si="20"/>
        <v>000</v>
      </c>
      <c r="O59" s="27" t="str">
        <f t="shared" si="21"/>
        <v>10000100</v>
      </c>
      <c r="Q59">
        <v>29</v>
      </c>
      <c r="R59" s="17" t="str">
        <f t="shared" si="22"/>
        <v>Relay function selection on X1</v>
      </c>
      <c r="S59" s="17" t="s">
        <v>196</v>
      </c>
      <c r="T59">
        <v>4</v>
      </c>
      <c r="U59" s="17" t="s">
        <v>191</v>
      </c>
      <c r="AG59" s="53" t="s">
        <v>325</v>
      </c>
      <c r="AH59" s="53">
        <v>57</v>
      </c>
    </row>
    <row r="60" spans="8:34" ht="60" x14ac:dyDescent="0.25">
      <c r="H60" s="22">
        <v>133</v>
      </c>
      <c r="I60" s="23" t="s">
        <v>99</v>
      </c>
      <c r="J60" s="28" t="str">
        <f t="shared" si="16"/>
        <v>10000101</v>
      </c>
      <c r="K60" s="26">
        <f t="shared" si="17"/>
        <v>10000101</v>
      </c>
      <c r="L60" s="22" t="str">
        <f t="shared" si="18"/>
        <v>0000000010000101</v>
      </c>
      <c r="M60" s="22" t="str">
        <f t="shared" si="19"/>
        <v>00010000101</v>
      </c>
      <c r="N60" s="27" t="str">
        <f t="shared" si="20"/>
        <v>000</v>
      </c>
      <c r="O60" s="27" t="str">
        <f t="shared" si="21"/>
        <v>10000101</v>
      </c>
      <c r="Q60">
        <v>29</v>
      </c>
      <c r="R60" s="17" t="str">
        <f t="shared" si="22"/>
        <v>Relay function selection on X1</v>
      </c>
      <c r="S60" s="17" t="s">
        <v>196</v>
      </c>
      <c r="T60">
        <v>5</v>
      </c>
      <c r="U60" s="17" t="s">
        <v>192</v>
      </c>
      <c r="AG60" s="53" t="s">
        <v>326</v>
      </c>
      <c r="AH60" s="53">
        <v>58</v>
      </c>
    </row>
    <row r="61" spans="8:34" ht="165" x14ac:dyDescent="0.25">
      <c r="H61" s="22">
        <v>134</v>
      </c>
      <c r="I61" s="23" t="s">
        <v>100</v>
      </c>
      <c r="J61" s="28" t="str">
        <f t="shared" si="16"/>
        <v>10000110</v>
      </c>
      <c r="K61" s="26">
        <f t="shared" si="17"/>
        <v>10000110</v>
      </c>
      <c r="L61" s="22" t="str">
        <f t="shared" si="18"/>
        <v>0000000010000110</v>
      </c>
      <c r="M61" s="22" t="str">
        <f t="shared" si="19"/>
        <v>00010000110</v>
      </c>
      <c r="N61" s="27" t="str">
        <f t="shared" si="20"/>
        <v>000</v>
      </c>
      <c r="O61" s="27" t="str">
        <f t="shared" si="21"/>
        <v>10000110</v>
      </c>
      <c r="Q61">
        <v>29</v>
      </c>
      <c r="R61" s="17" t="str">
        <f t="shared" si="22"/>
        <v>Relay function selection on X1</v>
      </c>
      <c r="S61" s="17" t="s">
        <v>196</v>
      </c>
      <c r="T61">
        <v>6</v>
      </c>
      <c r="U61" s="17" t="s">
        <v>193</v>
      </c>
      <c r="AG61" s="53" t="s">
        <v>327</v>
      </c>
      <c r="AH61" s="53">
        <v>59</v>
      </c>
    </row>
    <row r="62" spans="8:34" ht="45" x14ac:dyDescent="0.25">
      <c r="H62" s="22">
        <v>140</v>
      </c>
      <c r="I62" s="23" t="s">
        <v>101</v>
      </c>
      <c r="J62" s="28" t="str">
        <f t="shared" si="16"/>
        <v>10001100</v>
      </c>
      <c r="K62" s="26">
        <f t="shared" si="17"/>
        <v>10001100</v>
      </c>
      <c r="L62" s="22" t="str">
        <f t="shared" si="18"/>
        <v>0000000010001100</v>
      </c>
      <c r="M62" s="22" t="str">
        <f t="shared" si="19"/>
        <v>00010001100</v>
      </c>
      <c r="N62" s="27" t="str">
        <f t="shared" si="20"/>
        <v>000</v>
      </c>
      <c r="O62" s="27" t="str">
        <f t="shared" si="21"/>
        <v>10001100</v>
      </c>
      <c r="Q62">
        <v>29</v>
      </c>
      <c r="R62" s="17" t="str">
        <f t="shared" si="22"/>
        <v>Relay function selection on X1</v>
      </c>
      <c r="S62" s="17" t="s">
        <v>196</v>
      </c>
      <c r="T62">
        <v>7</v>
      </c>
      <c r="U62" s="17" t="s">
        <v>194</v>
      </c>
      <c r="AG62" s="53" t="s">
        <v>328</v>
      </c>
      <c r="AH62" s="53">
        <v>60</v>
      </c>
    </row>
    <row r="63" spans="8:34" ht="30" x14ac:dyDescent="0.25">
      <c r="H63" s="22">
        <v>150</v>
      </c>
      <c r="I63" s="23" t="s">
        <v>102</v>
      </c>
      <c r="J63" s="28" t="str">
        <f t="shared" si="16"/>
        <v>10010110</v>
      </c>
      <c r="K63" s="26">
        <f t="shared" si="17"/>
        <v>10010110</v>
      </c>
      <c r="L63" s="22" t="str">
        <f t="shared" si="18"/>
        <v>0000000010010110</v>
      </c>
      <c r="M63" s="22" t="str">
        <f t="shared" si="19"/>
        <v>00010010110</v>
      </c>
      <c r="N63" s="27" t="str">
        <f t="shared" si="20"/>
        <v>000</v>
      </c>
      <c r="O63" s="27" t="str">
        <f t="shared" si="21"/>
        <v>10010110</v>
      </c>
      <c r="Q63">
        <v>29</v>
      </c>
      <c r="R63" s="17" t="str">
        <f t="shared" si="22"/>
        <v>Relay function selection on X1</v>
      </c>
      <c r="S63" s="17" t="s">
        <v>196</v>
      </c>
      <c r="T63">
        <v>8</v>
      </c>
      <c r="U63" s="17" t="s">
        <v>195</v>
      </c>
      <c r="AG63" s="53" t="s">
        <v>329</v>
      </c>
      <c r="AH63" s="53">
        <v>61</v>
      </c>
    </row>
    <row r="64" spans="8:34" ht="33.75" x14ac:dyDescent="0.25">
      <c r="H64" s="22">
        <v>171</v>
      </c>
      <c r="I64" s="23" t="s">
        <v>103</v>
      </c>
      <c r="J64" s="28" t="str">
        <f t="shared" si="16"/>
        <v>10101011</v>
      </c>
      <c r="K64" s="26">
        <f t="shared" si="17"/>
        <v>10101011</v>
      </c>
      <c r="L64" s="22" t="str">
        <f t="shared" si="18"/>
        <v>0000000010101011</v>
      </c>
      <c r="M64" s="22" t="str">
        <f t="shared" si="19"/>
        <v>00010101011</v>
      </c>
      <c r="N64" s="27" t="str">
        <f t="shared" si="20"/>
        <v>000</v>
      </c>
      <c r="O64" s="27" t="str">
        <f t="shared" si="21"/>
        <v>10101011</v>
      </c>
      <c r="Q64">
        <v>29</v>
      </c>
      <c r="R64" s="17" t="str">
        <f t="shared" si="22"/>
        <v>Relay function selection on X1</v>
      </c>
      <c r="S64" s="17" t="s">
        <v>198</v>
      </c>
      <c r="T64">
        <v>0</v>
      </c>
      <c r="U64" s="17" t="s">
        <v>199</v>
      </c>
      <c r="AG64" s="53" t="s">
        <v>330</v>
      </c>
      <c r="AH64" s="53">
        <v>62</v>
      </c>
    </row>
    <row r="65" spans="8:34" ht="60" x14ac:dyDescent="0.25">
      <c r="H65" s="22">
        <v>174</v>
      </c>
      <c r="I65" s="23" t="s">
        <v>104</v>
      </c>
      <c r="J65" s="28" t="str">
        <f t="shared" si="16"/>
        <v>10101110</v>
      </c>
      <c r="K65" s="26">
        <f t="shared" si="17"/>
        <v>10101110</v>
      </c>
      <c r="L65" s="22" t="str">
        <f t="shared" si="18"/>
        <v>0000000010101110</v>
      </c>
      <c r="M65" s="22" t="str">
        <f t="shared" si="19"/>
        <v>00010101110</v>
      </c>
      <c r="N65" s="27" t="str">
        <f t="shared" si="20"/>
        <v>000</v>
      </c>
      <c r="O65" s="27" t="str">
        <f t="shared" si="21"/>
        <v>10101110</v>
      </c>
      <c r="Q65">
        <v>29</v>
      </c>
      <c r="R65" s="17" t="str">
        <f t="shared" si="22"/>
        <v>Relay function selection on X1</v>
      </c>
      <c r="S65" s="17" t="s">
        <v>198</v>
      </c>
      <c r="T65">
        <v>1</v>
      </c>
      <c r="U65" s="17" t="s">
        <v>200</v>
      </c>
      <c r="AG65" s="53" t="s">
        <v>331</v>
      </c>
      <c r="AH65" s="53">
        <v>63</v>
      </c>
    </row>
    <row r="66" spans="8:34" ht="60" x14ac:dyDescent="0.25">
      <c r="H66" s="22">
        <v>176</v>
      </c>
      <c r="I66" s="23" t="s">
        <v>105</v>
      </c>
      <c r="J66" s="28" t="str">
        <f t="shared" si="16"/>
        <v>10110000</v>
      </c>
      <c r="K66" s="26">
        <f t="shared" si="17"/>
        <v>10110000</v>
      </c>
      <c r="L66" s="22" t="str">
        <f t="shared" si="18"/>
        <v>0000000010110000</v>
      </c>
      <c r="M66" s="22" t="str">
        <f t="shared" si="19"/>
        <v>00010110000</v>
      </c>
      <c r="N66" s="27" t="str">
        <f t="shared" si="20"/>
        <v>000</v>
      </c>
      <c r="O66" s="27" t="str">
        <f t="shared" si="21"/>
        <v>10110000</v>
      </c>
      <c r="Q66">
        <v>29</v>
      </c>
      <c r="R66" s="17" t="str">
        <f t="shared" si="22"/>
        <v>Relay function selection on X1</v>
      </c>
      <c r="S66" s="17" t="s">
        <v>198</v>
      </c>
      <c r="T66">
        <v>2</v>
      </c>
      <c r="U66" s="17" t="s">
        <v>201</v>
      </c>
      <c r="AG66" s="53" t="s">
        <v>332</v>
      </c>
      <c r="AH66" s="53">
        <v>64</v>
      </c>
    </row>
    <row r="67" spans="8:34" ht="165" x14ac:dyDescent="0.25">
      <c r="H67" s="22">
        <v>179</v>
      </c>
      <c r="I67" s="23" t="s">
        <v>106</v>
      </c>
      <c r="J67" s="28" t="str">
        <f t="shared" si="16"/>
        <v>10110011</v>
      </c>
      <c r="K67" s="26">
        <f t="shared" si="17"/>
        <v>10110011</v>
      </c>
      <c r="L67" s="22" t="str">
        <f t="shared" si="18"/>
        <v>0000000010110011</v>
      </c>
      <c r="M67" s="22" t="str">
        <f t="shared" si="19"/>
        <v>00010110011</v>
      </c>
      <c r="N67" s="27" t="str">
        <f t="shared" si="20"/>
        <v>000</v>
      </c>
      <c r="O67" s="27" t="str">
        <f t="shared" si="21"/>
        <v>10110011</v>
      </c>
      <c r="Q67">
        <v>29</v>
      </c>
      <c r="R67" s="17" t="str">
        <f t="shared" si="22"/>
        <v>Relay function selection on X1</v>
      </c>
      <c r="S67" s="17" t="s">
        <v>197</v>
      </c>
      <c r="T67">
        <v>0</v>
      </c>
      <c r="U67" s="17" t="s">
        <v>202</v>
      </c>
      <c r="AG67" s="53" t="s">
        <v>333</v>
      </c>
      <c r="AH67" s="53">
        <v>65</v>
      </c>
    </row>
    <row r="68" spans="8:34" ht="45" x14ac:dyDescent="0.25">
      <c r="H68" s="22">
        <v>180</v>
      </c>
      <c r="I68" s="23" t="s">
        <v>107</v>
      </c>
      <c r="J68" s="28" t="str">
        <f t="shared" si="16"/>
        <v>10110100</v>
      </c>
      <c r="K68" s="26">
        <f t="shared" si="17"/>
        <v>10110100</v>
      </c>
      <c r="L68" s="22" t="str">
        <f t="shared" si="18"/>
        <v>0000000010110100</v>
      </c>
      <c r="M68" s="22" t="str">
        <f t="shared" si="19"/>
        <v>00010110100</v>
      </c>
      <c r="N68" s="27" t="str">
        <f t="shared" si="20"/>
        <v>000</v>
      </c>
      <c r="O68" s="27" t="str">
        <f t="shared" si="21"/>
        <v>10110100</v>
      </c>
      <c r="Q68">
        <v>29</v>
      </c>
      <c r="R68" s="17" t="str">
        <f t="shared" si="22"/>
        <v>Relay function selection on X1</v>
      </c>
      <c r="S68" s="17" t="s">
        <v>197</v>
      </c>
      <c r="T68">
        <v>1</v>
      </c>
      <c r="U68" s="17" t="s">
        <v>203</v>
      </c>
      <c r="AG68" s="53" t="s">
        <v>334</v>
      </c>
      <c r="AH68" s="53">
        <v>66</v>
      </c>
    </row>
    <row r="69" spans="8:34" ht="165" x14ac:dyDescent="0.25">
      <c r="H69" s="22">
        <v>182</v>
      </c>
      <c r="I69" s="23" t="s">
        <v>108</v>
      </c>
      <c r="J69" s="28" t="str">
        <f t="shared" si="16"/>
        <v>10110110</v>
      </c>
      <c r="K69" s="26">
        <f t="shared" si="17"/>
        <v>10110110</v>
      </c>
      <c r="L69" s="22" t="str">
        <f t="shared" si="18"/>
        <v>0000000010110110</v>
      </c>
      <c r="M69" s="22" t="str">
        <f t="shared" si="19"/>
        <v>00010110110</v>
      </c>
      <c r="N69" s="27" t="str">
        <f t="shared" si="20"/>
        <v>000</v>
      </c>
      <c r="O69" s="27" t="str">
        <f t="shared" si="21"/>
        <v>10110110</v>
      </c>
      <c r="Q69">
        <v>29</v>
      </c>
      <c r="R69" s="17" t="str">
        <f t="shared" si="22"/>
        <v>Relay function selection on X1</v>
      </c>
      <c r="S69" s="17" t="s">
        <v>197</v>
      </c>
      <c r="T69">
        <v>2</v>
      </c>
      <c r="U69" s="17" t="s">
        <v>201</v>
      </c>
      <c r="AG69" s="53" t="s">
        <v>335</v>
      </c>
      <c r="AH69" s="53">
        <v>67</v>
      </c>
    </row>
    <row r="70" spans="8:34" ht="30" x14ac:dyDescent="0.25">
      <c r="H70" s="22">
        <v>183</v>
      </c>
      <c r="I70" s="23" t="s">
        <v>109</v>
      </c>
      <c r="J70" s="28" t="str">
        <f t="shared" si="16"/>
        <v>10110111</v>
      </c>
      <c r="K70" s="26">
        <f t="shared" si="17"/>
        <v>10110111</v>
      </c>
      <c r="L70" s="22" t="str">
        <f t="shared" si="18"/>
        <v>0000000010110111</v>
      </c>
      <c r="M70" s="22" t="str">
        <f t="shared" si="19"/>
        <v>00010110111</v>
      </c>
      <c r="N70" s="27" t="str">
        <f t="shared" si="20"/>
        <v>000</v>
      </c>
      <c r="O70" s="27" t="str">
        <f t="shared" si="21"/>
        <v>10110111</v>
      </c>
      <c r="Q70">
        <v>30</v>
      </c>
      <c r="R70" s="17" t="str">
        <f t="shared" si="22"/>
        <v>Analog output function</v>
      </c>
      <c r="S70" s="17">
        <v>0</v>
      </c>
      <c r="T70" s="17">
        <v>0</v>
      </c>
      <c r="U70" s="17" t="s">
        <v>204</v>
      </c>
      <c r="AG70" s="53" t="s">
        <v>336</v>
      </c>
      <c r="AH70" s="53">
        <v>68</v>
      </c>
    </row>
    <row r="71" spans="8:34" ht="45" x14ac:dyDescent="0.25">
      <c r="H71" s="22">
        <v>184</v>
      </c>
      <c r="I71" s="23" t="s">
        <v>110</v>
      </c>
      <c r="J71" s="28" t="str">
        <f t="shared" si="16"/>
        <v>10111000</v>
      </c>
      <c r="K71" s="26">
        <f t="shared" si="17"/>
        <v>10111000</v>
      </c>
      <c r="L71" s="22" t="str">
        <f t="shared" si="18"/>
        <v>0000000010111000</v>
      </c>
      <c r="M71" s="22" t="str">
        <f t="shared" si="19"/>
        <v>00010111000</v>
      </c>
      <c r="N71" s="27" t="str">
        <f t="shared" si="20"/>
        <v>000</v>
      </c>
      <c r="O71" s="27" t="str">
        <f t="shared" si="21"/>
        <v>10111000</v>
      </c>
      <c r="Q71">
        <v>30</v>
      </c>
      <c r="R71" s="17" t="str">
        <f t="shared" si="22"/>
        <v>Analog output function</v>
      </c>
      <c r="S71" s="17">
        <v>0</v>
      </c>
      <c r="T71" s="17">
        <v>1</v>
      </c>
      <c r="U71" s="17" t="s">
        <v>205</v>
      </c>
      <c r="AG71" s="53" t="s">
        <v>337</v>
      </c>
      <c r="AH71" s="53">
        <v>69</v>
      </c>
    </row>
    <row r="72" spans="8:34" ht="45" x14ac:dyDescent="0.25">
      <c r="H72" s="22">
        <v>185</v>
      </c>
      <c r="I72" s="23" t="s">
        <v>111</v>
      </c>
      <c r="J72" s="28" t="str">
        <f t="shared" si="16"/>
        <v>10111001</v>
      </c>
      <c r="K72" s="26">
        <f t="shared" si="17"/>
        <v>10111001</v>
      </c>
      <c r="L72" s="22" t="str">
        <f t="shared" si="18"/>
        <v>0000000010111001</v>
      </c>
      <c r="M72" s="22" t="str">
        <f t="shared" si="19"/>
        <v>00010111001</v>
      </c>
      <c r="N72" s="27" t="str">
        <f t="shared" si="20"/>
        <v>000</v>
      </c>
      <c r="O72" s="27" t="str">
        <f t="shared" si="21"/>
        <v>10111001</v>
      </c>
      <c r="Q72">
        <v>30</v>
      </c>
      <c r="R72" s="17" t="str">
        <f t="shared" si="22"/>
        <v>Analog output function</v>
      </c>
      <c r="S72" s="17">
        <v>0</v>
      </c>
      <c r="T72" s="17">
        <v>2</v>
      </c>
      <c r="U72" s="17" t="s">
        <v>206</v>
      </c>
      <c r="AG72" s="53" t="s">
        <v>338</v>
      </c>
      <c r="AH72" s="53">
        <v>70</v>
      </c>
    </row>
    <row r="73" spans="8:34" ht="60" x14ac:dyDescent="0.25">
      <c r="H73" s="22">
        <v>227</v>
      </c>
      <c r="I73" s="23" t="s">
        <v>112</v>
      </c>
      <c r="J73" s="28" t="str">
        <f t="shared" si="16"/>
        <v>11100011</v>
      </c>
      <c r="K73" s="26">
        <f t="shared" si="17"/>
        <v>11100011</v>
      </c>
      <c r="L73" s="22" t="str">
        <f t="shared" si="18"/>
        <v>0000000011100011</v>
      </c>
      <c r="M73" s="22" t="str">
        <f t="shared" si="19"/>
        <v>00011100011</v>
      </c>
      <c r="N73" s="27" t="str">
        <f t="shared" si="20"/>
        <v>000</v>
      </c>
      <c r="O73" s="27" t="str">
        <f t="shared" si="21"/>
        <v>11100011</v>
      </c>
      <c r="Q73">
        <v>30</v>
      </c>
      <c r="R73" s="17" t="str">
        <f t="shared" si="22"/>
        <v>Analog output function</v>
      </c>
      <c r="S73" s="17">
        <v>0</v>
      </c>
      <c r="T73" s="17">
        <v>3</v>
      </c>
      <c r="U73" s="17" t="s">
        <v>207</v>
      </c>
      <c r="AG73" s="53" t="s">
        <v>339</v>
      </c>
      <c r="AH73" s="53">
        <v>71</v>
      </c>
    </row>
    <row r="74" spans="8:34" ht="30" x14ac:dyDescent="0.25">
      <c r="H74" s="22">
        <v>247</v>
      </c>
      <c r="I74" s="23" t="s">
        <v>113</v>
      </c>
      <c r="J74" s="28" t="str">
        <f t="shared" si="16"/>
        <v>11110111</v>
      </c>
      <c r="K74" s="26">
        <f t="shared" si="17"/>
        <v>11110111</v>
      </c>
      <c r="L74" s="22" t="str">
        <f t="shared" si="18"/>
        <v>0000000011110111</v>
      </c>
      <c r="M74" s="22" t="str">
        <f t="shared" si="19"/>
        <v>00011110111</v>
      </c>
      <c r="N74" s="27" t="str">
        <f t="shared" si="20"/>
        <v>000</v>
      </c>
      <c r="O74" s="27" t="str">
        <f t="shared" si="21"/>
        <v>11110111</v>
      </c>
      <c r="Q74">
        <v>30</v>
      </c>
      <c r="R74" s="17" t="str">
        <f t="shared" si="22"/>
        <v>Analog output function</v>
      </c>
      <c r="S74" s="17">
        <v>0</v>
      </c>
      <c r="T74" s="17">
        <v>4</v>
      </c>
      <c r="U74" s="17" t="s">
        <v>208</v>
      </c>
      <c r="AG74" s="53" t="s">
        <v>340</v>
      </c>
      <c r="AH74" s="53">
        <v>72</v>
      </c>
    </row>
    <row r="75" spans="8:34" ht="60" x14ac:dyDescent="0.25">
      <c r="H75" s="22">
        <v>248</v>
      </c>
      <c r="I75" s="23" t="s">
        <v>114</v>
      </c>
      <c r="J75" s="28" t="str">
        <f t="shared" si="16"/>
        <v>11111000</v>
      </c>
      <c r="K75" s="26">
        <f t="shared" si="17"/>
        <v>11111000</v>
      </c>
      <c r="L75" s="22" t="str">
        <f t="shared" si="18"/>
        <v>0000000011111000</v>
      </c>
      <c r="M75" s="22" t="str">
        <f t="shared" si="19"/>
        <v>00011111000</v>
      </c>
      <c r="N75" s="27" t="str">
        <f t="shared" si="20"/>
        <v>000</v>
      </c>
      <c r="O75" s="27" t="str">
        <f t="shared" si="21"/>
        <v>11111000</v>
      </c>
      <c r="Q75">
        <v>30</v>
      </c>
      <c r="R75" s="17" t="str">
        <f t="shared" si="22"/>
        <v>Analog output function</v>
      </c>
      <c r="S75" s="17">
        <v>0</v>
      </c>
      <c r="T75" s="17">
        <v>5</v>
      </c>
      <c r="U75" s="17" t="s">
        <v>209</v>
      </c>
      <c r="AG75" s="53" t="s">
        <v>341</v>
      </c>
      <c r="AH75" s="53">
        <v>73</v>
      </c>
    </row>
    <row r="76" spans="8:34" ht="30" x14ac:dyDescent="0.25">
      <c r="H76" s="22">
        <v>249</v>
      </c>
      <c r="I76" s="23" t="s">
        <v>115</v>
      </c>
      <c r="J76" s="28" t="str">
        <f t="shared" si="16"/>
        <v>11111001</v>
      </c>
      <c r="K76" s="26">
        <f t="shared" si="17"/>
        <v>11111001</v>
      </c>
      <c r="L76" s="22" t="str">
        <f t="shared" si="18"/>
        <v>0000000011111001</v>
      </c>
      <c r="M76" s="22" t="str">
        <f t="shared" si="19"/>
        <v>00011111001</v>
      </c>
      <c r="N76" s="27" t="str">
        <f t="shared" si="20"/>
        <v>000</v>
      </c>
      <c r="O76" s="27" t="str">
        <f t="shared" si="21"/>
        <v>11111001</v>
      </c>
      <c r="Q76">
        <v>31</v>
      </c>
      <c r="R76" s="17" t="str">
        <f t="shared" si="22"/>
        <v>Index 1: Upper limit for analog output                                           Index 2: Lower limit for analog output</v>
      </c>
      <c r="S76" s="17">
        <v>0</v>
      </c>
      <c r="T76" s="17">
        <v>0</v>
      </c>
      <c r="U76" s="17" t="s">
        <v>210</v>
      </c>
      <c r="AG76" s="53" t="s">
        <v>342</v>
      </c>
      <c r="AH76" s="53">
        <v>74</v>
      </c>
    </row>
    <row r="77" spans="8:34" ht="60" x14ac:dyDescent="0.25">
      <c r="H77" s="22">
        <v>312</v>
      </c>
      <c r="I77" s="23" t="s">
        <v>116</v>
      </c>
      <c r="J77" s="28" t="str">
        <f t="shared" si="16"/>
        <v>100111000</v>
      </c>
      <c r="K77" s="26">
        <f t="shared" si="17"/>
        <v>100111000</v>
      </c>
      <c r="L77" s="22" t="str">
        <f t="shared" si="18"/>
        <v>0000000100111000</v>
      </c>
      <c r="M77" s="22" t="str">
        <f t="shared" si="19"/>
        <v>00100111000</v>
      </c>
      <c r="N77" s="27" t="str">
        <f t="shared" si="20"/>
        <v>001</v>
      </c>
      <c r="O77" s="27" t="str">
        <f t="shared" si="21"/>
        <v>00111000</v>
      </c>
      <c r="Q77">
        <v>32</v>
      </c>
      <c r="R77" s="17" t="str">
        <f t="shared" si="22"/>
        <v>Max. run-up time</v>
      </c>
      <c r="S77" s="17">
        <v>0</v>
      </c>
      <c r="T77" s="17">
        <v>0</v>
      </c>
      <c r="U77" s="17" t="s">
        <v>210</v>
      </c>
      <c r="AG77" s="53" t="s">
        <v>343</v>
      </c>
      <c r="AH77" s="53">
        <v>75</v>
      </c>
    </row>
    <row r="78" spans="8:34" ht="45" x14ac:dyDescent="0.25">
      <c r="H78" s="22">
        <v>313</v>
      </c>
      <c r="I78" s="23" t="s">
        <v>117</v>
      </c>
      <c r="J78" s="28" t="str">
        <f t="shared" si="16"/>
        <v>100111001</v>
      </c>
      <c r="K78" s="26">
        <f t="shared" si="17"/>
        <v>100111001</v>
      </c>
      <c r="L78" s="22" t="str">
        <f t="shared" si="18"/>
        <v>0000000100111001</v>
      </c>
      <c r="M78" s="22" t="str">
        <f t="shared" si="19"/>
        <v>00100111001</v>
      </c>
      <c r="N78" s="27" t="str">
        <f t="shared" si="20"/>
        <v>001</v>
      </c>
      <c r="O78" s="27" t="str">
        <f t="shared" si="21"/>
        <v>00111001</v>
      </c>
      <c r="Q78">
        <v>36</v>
      </c>
      <c r="R78" s="17" t="str">
        <f t="shared" si="22"/>
        <v>Start delay time</v>
      </c>
      <c r="S78" s="17">
        <v>0</v>
      </c>
      <c r="T78" s="17">
        <v>0</v>
      </c>
      <c r="U78" s="17" t="s">
        <v>210</v>
      </c>
      <c r="AG78" s="53" t="s">
        <v>344</v>
      </c>
      <c r="AH78" s="53">
        <v>76</v>
      </c>
    </row>
    <row r="79" spans="8:34" ht="45" x14ac:dyDescent="0.25">
      <c r="H79" s="22">
        <v>314</v>
      </c>
      <c r="I79" s="23" t="s">
        <v>118</v>
      </c>
      <c r="J79" s="28" t="str">
        <f t="shared" si="16"/>
        <v>100111010</v>
      </c>
      <c r="K79" s="26">
        <f t="shared" si="17"/>
        <v>100111010</v>
      </c>
      <c r="L79" s="22" t="str">
        <f t="shared" si="18"/>
        <v>0000000100111010</v>
      </c>
      <c r="M79" s="22" t="str">
        <f t="shared" si="19"/>
        <v>00100111010</v>
      </c>
      <c r="N79" s="27" t="str">
        <f t="shared" si="20"/>
        <v>001</v>
      </c>
      <c r="O79" s="27" t="str">
        <f t="shared" si="21"/>
        <v>00111010</v>
      </c>
      <c r="Q79">
        <v>37</v>
      </c>
      <c r="R79" s="17" t="str">
        <f t="shared" si="22"/>
        <v>RS485 address</v>
      </c>
      <c r="S79" s="17">
        <v>0</v>
      </c>
      <c r="T79">
        <v>0</v>
      </c>
      <c r="U79" s="17" t="s">
        <v>210</v>
      </c>
      <c r="AG79" s="53" t="s">
        <v>345</v>
      </c>
      <c r="AH79" s="53">
        <v>77</v>
      </c>
    </row>
    <row r="80" spans="8:34" ht="75" x14ac:dyDescent="0.25">
      <c r="H80" s="22">
        <v>315</v>
      </c>
      <c r="I80" s="23" t="s">
        <v>119</v>
      </c>
      <c r="J80" s="28" t="str">
        <f t="shared" si="16"/>
        <v>100111011</v>
      </c>
      <c r="K80" s="26">
        <f t="shared" si="17"/>
        <v>100111011</v>
      </c>
      <c r="L80" s="22" t="str">
        <f t="shared" si="18"/>
        <v>0000000100111011</v>
      </c>
      <c r="M80" s="22" t="str">
        <f t="shared" si="19"/>
        <v>00100111011</v>
      </c>
      <c r="N80" s="27" t="str">
        <f t="shared" si="20"/>
        <v>001</v>
      </c>
      <c r="O80" s="27" t="str">
        <f t="shared" si="21"/>
        <v>00111011</v>
      </c>
      <c r="Q80">
        <v>38</v>
      </c>
      <c r="R80" s="17" t="str">
        <f t="shared" si="22"/>
        <v>Number of start commands</v>
      </c>
      <c r="S80" s="17">
        <v>0</v>
      </c>
      <c r="T80" s="17">
        <v>0</v>
      </c>
      <c r="U80" s="17" t="s">
        <v>210</v>
      </c>
      <c r="AG80" s="53" t="s">
        <v>346</v>
      </c>
      <c r="AH80" s="53">
        <v>78</v>
      </c>
    </row>
    <row r="81" spans="8:34" ht="75" x14ac:dyDescent="0.25">
      <c r="H81" s="22">
        <v>316</v>
      </c>
      <c r="I81" s="23" t="s">
        <v>120</v>
      </c>
      <c r="J81" s="28" t="str">
        <f t="shared" si="16"/>
        <v>100111100</v>
      </c>
      <c r="K81" s="26">
        <f t="shared" si="17"/>
        <v>100111100</v>
      </c>
      <c r="L81" s="22" t="str">
        <f t="shared" si="18"/>
        <v>0000000100111100</v>
      </c>
      <c r="M81" s="22" t="str">
        <f t="shared" si="19"/>
        <v>00100111100</v>
      </c>
      <c r="N81" s="27" t="str">
        <f t="shared" si="20"/>
        <v>001</v>
      </c>
      <c r="O81" s="27" t="str">
        <f t="shared" si="21"/>
        <v>00111100</v>
      </c>
      <c r="Q81">
        <v>40</v>
      </c>
      <c r="R81" s="17" t="str">
        <f t="shared" si="22"/>
        <v>Error counter total</v>
      </c>
      <c r="S81" s="17">
        <v>0</v>
      </c>
      <c r="T81" s="17">
        <v>0</v>
      </c>
      <c r="U81" s="17" t="s">
        <v>210</v>
      </c>
      <c r="AG81" s="53" t="s">
        <v>347</v>
      </c>
      <c r="AH81" s="53">
        <v>79</v>
      </c>
    </row>
    <row r="82" spans="8:34" ht="60" x14ac:dyDescent="0.25">
      <c r="H82" s="22">
        <v>349</v>
      </c>
      <c r="I82" s="23" t="s">
        <v>121</v>
      </c>
      <c r="J82" s="28" t="str">
        <f t="shared" si="16"/>
        <v>101011101</v>
      </c>
      <c r="K82" s="26">
        <f t="shared" si="17"/>
        <v>101011101</v>
      </c>
      <c r="L82" s="22" t="str">
        <f t="shared" si="18"/>
        <v>0000000101011101</v>
      </c>
      <c r="M82" s="22" t="str">
        <f t="shared" si="19"/>
        <v>00101011101</v>
      </c>
      <c r="N82" s="27" t="str">
        <f t="shared" si="20"/>
        <v>001</v>
      </c>
      <c r="O82" s="27" t="str">
        <f t="shared" si="21"/>
        <v>01011101</v>
      </c>
      <c r="Q82">
        <v>41</v>
      </c>
      <c r="R82" s="17" t="str">
        <f t="shared" si="22"/>
        <v>Error counter overload</v>
      </c>
      <c r="S82" s="17">
        <v>0</v>
      </c>
      <c r="T82" s="17">
        <v>0</v>
      </c>
      <c r="U82" s="17" t="s">
        <v>210</v>
      </c>
      <c r="AG82" s="53" t="s">
        <v>348</v>
      </c>
      <c r="AH82" s="53">
        <v>80</v>
      </c>
    </row>
    <row r="83" spans="8:34" ht="60" x14ac:dyDescent="0.25">
      <c r="H83" s="22">
        <v>350</v>
      </c>
      <c r="I83" s="23" t="s">
        <v>122</v>
      </c>
      <c r="J83" s="28" t="str">
        <f t="shared" si="16"/>
        <v>101011110</v>
      </c>
      <c r="K83" s="26">
        <f t="shared" si="17"/>
        <v>101011110</v>
      </c>
      <c r="L83" s="22" t="str">
        <f t="shared" si="18"/>
        <v>0000000101011110</v>
      </c>
      <c r="M83" s="22" t="str">
        <f t="shared" si="19"/>
        <v>00101011110</v>
      </c>
      <c r="N83" s="27" t="str">
        <f t="shared" si="20"/>
        <v>001</v>
      </c>
      <c r="O83" s="27" t="str">
        <f t="shared" si="21"/>
        <v>01011110</v>
      </c>
      <c r="Q83">
        <v>43</v>
      </c>
      <c r="R83" s="17" t="str">
        <f t="shared" si="22"/>
        <v>Error counter supply</v>
      </c>
      <c r="S83" s="17">
        <v>0</v>
      </c>
      <c r="T83" s="17">
        <v>0</v>
      </c>
      <c r="U83" s="17" t="s">
        <v>210</v>
      </c>
      <c r="AG83" s="53" t="s">
        <v>349</v>
      </c>
      <c r="AH83" s="53">
        <v>81</v>
      </c>
    </row>
    <row r="84" spans="8:34" ht="60" x14ac:dyDescent="0.25">
      <c r="H84" s="22">
        <v>355</v>
      </c>
      <c r="I84" s="23" t="s">
        <v>123</v>
      </c>
      <c r="J84" s="28" t="str">
        <f t="shared" si="16"/>
        <v>101100011</v>
      </c>
      <c r="K84" s="26">
        <f t="shared" si="17"/>
        <v>101100011</v>
      </c>
      <c r="L84" s="22" t="str">
        <f t="shared" si="18"/>
        <v>0000000101100011</v>
      </c>
      <c r="M84" s="22" t="str">
        <f t="shared" si="19"/>
        <v>00101100011</v>
      </c>
      <c r="N84" s="27" t="str">
        <f t="shared" si="20"/>
        <v>001</v>
      </c>
      <c r="O84" s="27" t="str">
        <f t="shared" si="21"/>
        <v>01100011</v>
      </c>
      <c r="Q84">
        <v>119</v>
      </c>
      <c r="R84" s="17" t="str">
        <f t="shared" si="22"/>
        <v>Index 0: Bearing break-in function                                     Index 1: Status bearing break-in function</v>
      </c>
      <c r="S84" s="17">
        <v>0</v>
      </c>
      <c r="T84" s="17">
        <v>0</v>
      </c>
      <c r="U84" s="17" t="s">
        <v>215</v>
      </c>
      <c r="AG84" s="53" t="s">
        <v>350</v>
      </c>
      <c r="AH84" s="53">
        <v>82</v>
      </c>
    </row>
    <row r="85" spans="8:34" ht="90" x14ac:dyDescent="0.25">
      <c r="H85" s="22">
        <v>394</v>
      </c>
      <c r="I85" s="23" t="s">
        <v>124</v>
      </c>
      <c r="J85" s="28" t="str">
        <f t="shared" si="16"/>
        <v>110001010</v>
      </c>
      <c r="K85" s="26">
        <f t="shared" si="17"/>
        <v>110001010</v>
      </c>
      <c r="L85" s="22" t="str">
        <f t="shared" si="18"/>
        <v>0000000110001010</v>
      </c>
      <c r="M85" s="22" t="str">
        <f t="shared" si="19"/>
        <v>00110001010</v>
      </c>
      <c r="N85" s="27" t="str">
        <f t="shared" si="20"/>
        <v>001</v>
      </c>
      <c r="O85" s="27" t="str">
        <f t="shared" si="21"/>
        <v>10001010</v>
      </c>
      <c r="Q85">
        <v>119</v>
      </c>
      <c r="R85" s="17" t="str">
        <f t="shared" ref="R85:R116" si="23">VLOOKUP(Q85,$H$20:$I$128,2,FALSE)</f>
        <v>Index 0: Bearing break-in function                                     Index 1: Status bearing break-in function</v>
      </c>
      <c r="S85" s="17">
        <v>0</v>
      </c>
      <c r="T85" s="17">
        <v>1</v>
      </c>
      <c r="U85" s="17" t="s">
        <v>216</v>
      </c>
      <c r="AG85" s="53" t="s">
        <v>351</v>
      </c>
      <c r="AH85" s="53">
        <v>83</v>
      </c>
    </row>
    <row r="86" spans="8:34" ht="105" x14ac:dyDescent="0.25">
      <c r="H86" s="22">
        <v>395</v>
      </c>
      <c r="I86" s="23" t="s">
        <v>125</v>
      </c>
      <c r="J86" s="28" t="str">
        <f t="shared" ref="J86:J90" si="24">IF(H86="","",TEXT(DEC2BIN(INT(H86/512)),"0;;")&amp;DEC2BIN(MOD(H86,512),MIN(9,LOG(H86,2)+1)))</f>
        <v>110001011</v>
      </c>
      <c r="K86" s="26">
        <f t="shared" si="17"/>
        <v>110001011</v>
      </c>
      <c r="L86" s="22" t="str">
        <f t="shared" si="18"/>
        <v>0000000110001011</v>
      </c>
      <c r="M86" s="22" t="str">
        <f t="shared" si="19"/>
        <v>00110001011</v>
      </c>
      <c r="N86" s="27" t="str">
        <f t="shared" si="20"/>
        <v>001</v>
      </c>
      <c r="O86" s="27" t="str">
        <f t="shared" si="21"/>
        <v>10001011</v>
      </c>
      <c r="Q86">
        <v>119</v>
      </c>
      <c r="R86" s="17" t="str">
        <f t="shared" si="23"/>
        <v>Index 0: Bearing break-in function                                     Index 1: Status bearing break-in function</v>
      </c>
      <c r="S86" s="17">
        <v>0</v>
      </c>
      <c r="T86" s="17">
        <v>2</v>
      </c>
      <c r="U86" s="17" t="s">
        <v>217</v>
      </c>
      <c r="AG86" s="53" t="s">
        <v>352</v>
      </c>
      <c r="AH86" s="53">
        <v>84</v>
      </c>
    </row>
    <row r="87" spans="8:34" ht="105" x14ac:dyDescent="0.25">
      <c r="H87" s="22">
        <v>396</v>
      </c>
      <c r="I87" s="23" t="s">
        <v>126</v>
      </c>
      <c r="J87" s="28" t="str">
        <f t="shared" si="24"/>
        <v>110001100</v>
      </c>
      <c r="K87" s="26">
        <f t="shared" ref="K87:K128" si="25">VALUE(J87)</f>
        <v>110001100</v>
      </c>
      <c r="L87" s="22" t="str">
        <f t="shared" ref="L87:L128" si="26">+TEXT(K87,"0000000000000000")</f>
        <v>0000000110001100</v>
      </c>
      <c r="M87" s="22" t="str">
        <f t="shared" ref="M87:M128" si="27">+RIGHT(L87,11)</f>
        <v>00110001100</v>
      </c>
      <c r="N87" s="27" t="str">
        <f t="shared" ref="N87:N128" si="28">+LEFT(M87,3)</f>
        <v>001</v>
      </c>
      <c r="O87" s="27" t="str">
        <f t="shared" ref="O87:O128" si="29">RIGHT(M87,8)</f>
        <v>10001100</v>
      </c>
      <c r="Q87">
        <v>119</v>
      </c>
      <c r="R87" s="17" t="str">
        <f t="shared" si="23"/>
        <v>Index 0: Bearing break-in function                                     Index 1: Status bearing break-in function</v>
      </c>
      <c r="S87" s="17">
        <v>0</v>
      </c>
      <c r="T87" s="17">
        <v>4</v>
      </c>
      <c r="U87" s="17" t="s">
        <v>218</v>
      </c>
      <c r="AG87" s="53" t="s">
        <v>353</v>
      </c>
      <c r="AH87" s="53">
        <v>85</v>
      </c>
    </row>
    <row r="88" spans="8:34" ht="45" x14ac:dyDescent="0.25">
      <c r="H88" s="22">
        <v>601</v>
      </c>
      <c r="I88" s="23" t="s">
        <v>127</v>
      </c>
      <c r="J88" s="28" t="str">
        <f t="shared" si="24"/>
        <v>1001011001</v>
      </c>
      <c r="K88" s="26">
        <f t="shared" si="25"/>
        <v>1001011001</v>
      </c>
      <c r="L88" s="22" t="str">
        <f t="shared" si="26"/>
        <v>0000001001011001</v>
      </c>
      <c r="M88" s="22" t="str">
        <f t="shared" si="27"/>
        <v>01001011001</v>
      </c>
      <c r="N88" s="27" t="str">
        <f t="shared" si="28"/>
        <v>010</v>
      </c>
      <c r="O88" s="27" t="str">
        <f t="shared" si="29"/>
        <v>01011001</v>
      </c>
      <c r="Q88">
        <v>119</v>
      </c>
      <c r="R88" s="17" t="str">
        <f t="shared" si="23"/>
        <v>Index 0: Bearing break-in function                                     Index 1: Status bearing break-in function</v>
      </c>
      <c r="S88" s="17">
        <v>0</v>
      </c>
      <c r="T88" s="17">
        <v>1</v>
      </c>
      <c r="U88" s="17" t="s">
        <v>219</v>
      </c>
      <c r="AG88" s="53" t="s">
        <v>354</v>
      </c>
      <c r="AH88" s="53">
        <v>86</v>
      </c>
    </row>
    <row r="89" spans="8:34" ht="30" x14ac:dyDescent="0.25">
      <c r="H89" s="22">
        <v>602</v>
      </c>
      <c r="I89" s="23" t="s">
        <v>128</v>
      </c>
      <c r="J89" s="28" t="str">
        <f t="shared" si="24"/>
        <v>1001011010</v>
      </c>
      <c r="K89" s="26">
        <f t="shared" si="25"/>
        <v>1001011010</v>
      </c>
      <c r="L89" s="22" t="str">
        <f t="shared" si="26"/>
        <v>0000001001011010</v>
      </c>
      <c r="M89" s="22" t="str">
        <f t="shared" si="27"/>
        <v>01001011010</v>
      </c>
      <c r="N89" s="27" t="str">
        <f t="shared" si="28"/>
        <v>010</v>
      </c>
      <c r="O89" s="27" t="str">
        <f t="shared" si="29"/>
        <v>01011010</v>
      </c>
      <c r="Q89">
        <v>119</v>
      </c>
      <c r="R89" s="17" t="str">
        <f t="shared" si="23"/>
        <v>Index 0: Bearing break-in function                                     Index 1: Status bearing break-in function</v>
      </c>
      <c r="S89" s="17">
        <v>0</v>
      </c>
      <c r="T89" s="17">
        <v>2</v>
      </c>
      <c r="U89" s="17" t="s">
        <v>220</v>
      </c>
      <c r="AG89" s="53" t="s">
        <v>355</v>
      </c>
      <c r="AH89" s="53">
        <v>87</v>
      </c>
    </row>
    <row r="90" spans="8:34" ht="30" x14ac:dyDescent="0.25">
      <c r="H90" s="22">
        <v>604</v>
      </c>
      <c r="I90" s="23" t="s">
        <v>129</v>
      </c>
      <c r="J90" s="28" t="str">
        <f t="shared" si="24"/>
        <v>1001011100</v>
      </c>
      <c r="K90" s="26">
        <f t="shared" si="25"/>
        <v>1001011100</v>
      </c>
      <c r="L90" s="22" t="str">
        <f t="shared" si="26"/>
        <v>0000001001011100</v>
      </c>
      <c r="M90" s="22" t="str">
        <f t="shared" si="27"/>
        <v>01001011100</v>
      </c>
      <c r="N90" s="27" t="str">
        <f t="shared" si="28"/>
        <v>010</v>
      </c>
      <c r="O90" s="27" t="str">
        <f t="shared" si="29"/>
        <v>01011100</v>
      </c>
      <c r="Q90">
        <v>119</v>
      </c>
      <c r="R90" s="17" t="str">
        <f t="shared" si="23"/>
        <v>Index 0: Bearing break-in function                                     Index 1: Status bearing break-in function</v>
      </c>
      <c r="S90" s="17">
        <v>0</v>
      </c>
      <c r="T90" s="17">
        <v>4</v>
      </c>
      <c r="U90" s="17" t="s">
        <v>221</v>
      </c>
      <c r="AG90" s="53" t="s">
        <v>356</v>
      </c>
      <c r="AH90" s="53">
        <v>88</v>
      </c>
    </row>
    <row r="91" spans="8:34" ht="30" x14ac:dyDescent="0.25">
      <c r="H91" s="22">
        <v>606</v>
      </c>
      <c r="I91" s="23" t="s">
        <v>130</v>
      </c>
      <c r="J91" s="28" t="str">
        <f>IF(H91="","",TEXT(DEC2BIN(INT(H91/512)),"0;;")&amp;DEC2BIN(MOD(H91,512),MIN(9,LOG(H91,2)+1)))</f>
        <v>1001011110</v>
      </c>
      <c r="K91" s="26">
        <f t="shared" si="25"/>
        <v>1001011110</v>
      </c>
      <c r="L91" s="22" t="str">
        <f t="shared" si="26"/>
        <v>0000001001011110</v>
      </c>
      <c r="M91" s="22" t="str">
        <f t="shared" si="27"/>
        <v>01001011110</v>
      </c>
      <c r="N91" s="27" t="str">
        <f t="shared" si="28"/>
        <v>010</v>
      </c>
      <c r="O91" s="27" t="str">
        <f t="shared" si="29"/>
        <v>01011110</v>
      </c>
      <c r="Q91">
        <v>119</v>
      </c>
      <c r="R91" s="17" t="str">
        <f t="shared" si="23"/>
        <v>Index 0: Bearing break-in function                                     Index 1: Status bearing break-in function</v>
      </c>
      <c r="S91" s="17">
        <v>0</v>
      </c>
      <c r="T91" s="17">
        <v>8</v>
      </c>
      <c r="U91" s="17" t="s">
        <v>222</v>
      </c>
      <c r="AG91" s="53" t="s">
        <v>357</v>
      </c>
      <c r="AH91" s="53">
        <v>89</v>
      </c>
    </row>
    <row r="92" spans="8:34" ht="60" x14ac:dyDescent="0.25">
      <c r="H92" s="22">
        <v>609</v>
      </c>
      <c r="I92" s="23" t="s">
        <v>131</v>
      </c>
      <c r="J92" s="28" t="str">
        <f t="shared" ref="J92:J128" si="30">IF(H92="","",TEXT(DEC2BIN(INT(H92/512)),"0;;")&amp;DEC2BIN(MOD(H92,512),MIN(9,LOG(H92,2)+1)))</f>
        <v>1001100001</v>
      </c>
      <c r="K92" s="26">
        <f t="shared" si="25"/>
        <v>1001100001</v>
      </c>
      <c r="L92" s="22" t="str">
        <f t="shared" si="26"/>
        <v>0000001001100001</v>
      </c>
      <c r="M92" s="22" t="str">
        <f t="shared" si="27"/>
        <v>01001100001</v>
      </c>
      <c r="N92" s="27" t="str">
        <f t="shared" si="28"/>
        <v>010</v>
      </c>
      <c r="O92" s="27" t="str">
        <f t="shared" si="29"/>
        <v>01100001</v>
      </c>
      <c r="Q92">
        <v>122</v>
      </c>
      <c r="R92" s="17" t="str">
        <f t="shared" si="23"/>
        <v>Switching threshold for bearing temperature relay output (for TURBOVAC iX only)</v>
      </c>
      <c r="S92" s="17">
        <v>0</v>
      </c>
      <c r="T92" s="17">
        <v>0</v>
      </c>
      <c r="U92" s="17" t="s">
        <v>184</v>
      </c>
      <c r="AG92" s="53" t="s">
        <v>358</v>
      </c>
      <c r="AH92" s="53">
        <v>90</v>
      </c>
    </row>
    <row r="93" spans="8:34" ht="45" x14ac:dyDescent="0.25">
      <c r="H93" s="22">
        <v>610</v>
      </c>
      <c r="I93" s="23" t="s">
        <v>132</v>
      </c>
      <c r="J93" s="28" t="str">
        <f t="shared" si="30"/>
        <v>1001100010</v>
      </c>
      <c r="K93" s="26">
        <f t="shared" si="25"/>
        <v>1001100010</v>
      </c>
      <c r="L93" s="22" t="str">
        <f t="shared" si="26"/>
        <v>0000001001100010</v>
      </c>
      <c r="M93" s="22" t="str">
        <f t="shared" si="27"/>
        <v>01001100010</v>
      </c>
      <c r="N93" s="27" t="str">
        <f t="shared" si="28"/>
        <v>010</v>
      </c>
      <c r="O93" s="27" t="str">
        <f t="shared" si="29"/>
        <v>01100010</v>
      </c>
      <c r="Q93">
        <v>122</v>
      </c>
      <c r="R93" s="17" t="str">
        <f t="shared" si="23"/>
        <v>Switching threshold for bearing temperature relay output (for TURBOVAC iX only)</v>
      </c>
      <c r="S93" s="17">
        <v>0</v>
      </c>
      <c r="T93" s="17">
        <v>1</v>
      </c>
      <c r="U93" s="17" t="s">
        <v>185</v>
      </c>
      <c r="AG93" s="53" t="s">
        <v>359</v>
      </c>
      <c r="AH93" s="53">
        <v>91</v>
      </c>
    </row>
    <row r="94" spans="8:34" ht="75" x14ac:dyDescent="0.25">
      <c r="H94" s="22">
        <v>611</v>
      </c>
      <c r="I94" s="23" t="s">
        <v>133</v>
      </c>
      <c r="J94" s="28" t="str">
        <f t="shared" si="30"/>
        <v>1001100011</v>
      </c>
      <c r="K94" s="26">
        <f t="shared" si="25"/>
        <v>1001100011</v>
      </c>
      <c r="L94" s="22" t="str">
        <f t="shared" si="26"/>
        <v>0000001001100011</v>
      </c>
      <c r="M94" s="22" t="str">
        <f t="shared" si="27"/>
        <v>01001100011</v>
      </c>
      <c r="N94" s="27" t="str">
        <f t="shared" si="28"/>
        <v>010</v>
      </c>
      <c r="O94" s="27" t="str">
        <f t="shared" si="29"/>
        <v>01100011</v>
      </c>
      <c r="Q94">
        <v>122</v>
      </c>
      <c r="R94" s="17" t="str">
        <f t="shared" si="23"/>
        <v>Switching threshold for bearing temperature relay output (for TURBOVAC iX only)</v>
      </c>
      <c r="S94" s="17">
        <v>0</v>
      </c>
      <c r="T94" s="17">
        <v>2</v>
      </c>
      <c r="U94" s="17" t="s">
        <v>186</v>
      </c>
      <c r="AG94" s="53" t="s">
        <v>360</v>
      </c>
      <c r="AH94" s="53">
        <v>92</v>
      </c>
    </row>
    <row r="95" spans="8:34" ht="30" x14ac:dyDescent="0.25">
      <c r="H95" s="22">
        <v>615</v>
      </c>
      <c r="I95" s="23" t="s">
        <v>134</v>
      </c>
      <c r="J95" s="28" t="str">
        <f t="shared" si="30"/>
        <v>1001100111</v>
      </c>
      <c r="K95" s="26">
        <f t="shared" si="25"/>
        <v>1001100111</v>
      </c>
      <c r="L95" s="22" t="str">
        <f t="shared" si="26"/>
        <v>0000001001100111</v>
      </c>
      <c r="M95" s="22" t="str">
        <f t="shared" si="27"/>
        <v>01001100111</v>
      </c>
      <c r="N95" s="27" t="str">
        <f t="shared" si="28"/>
        <v>010</v>
      </c>
      <c r="O95" s="27" t="str">
        <f t="shared" si="29"/>
        <v>01100111</v>
      </c>
      <c r="Q95">
        <v>125</v>
      </c>
      <c r="R95" s="17" t="str">
        <f t="shared" si="23"/>
        <v>Actual bearing temperature</v>
      </c>
      <c r="S95" s="17">
        <v>0</v>
      </c>
      <c r="T95" s="17">
        <v>0</v>
      </c>
      <c r="U95" s="17" t="s">
        <v>210</v>
      </c>
      <c r="AG95" s="53" t="s">
        <v>361</v>
      </c>
      <c r="AH95" s="53">
        <v>93</v>
      </c>
    </row>
    <row r="96" spans="8:34" ht="60" x14ac:dyDescent="0.25">
      <c r="H96" s="22">
        <v>616</v>
      </c>
      <c r="I96" s="23" t="s">
        <v>135</v>
      </c>
      <c r="J96" s="28" t="str">
        <f t="shared" si="30"/>
        <v>1001101000</v>
      </c>
      <c r="K96" s="26">
        <f t="shared" si="25"/>
        <v>1001101000</v>
      </c>
      <c r="L96" s="22" t="str">
        <f t="shared" si="26"/>
        <v>0000001001101000</v>
      </c>
      <c r="M96" s="22" t="str">
        <f t="shared" si="27"/>
        <v>01001101000</v>
      </c>
      <c r="N96" s="27" t="str">
        <f t="shared" si="28"/>
        <v>010</v>
      </c>
      <c r="O96" s="27" t="str">
        <f t="shared" si="29"/>
        <v>01101000</v>
      </c>
      <c r="Q96">
        <v>126</v>
      </c>
      <c r="R96" s="17" t="str">
        <f t="shared" si="23"/>
        <v>Bearing temperature warning threshold</v>
      </c>
      <c r="S96" s="17">
        <v>0</v>
      </c>
      <c r="T96" s="17">
        <v>0</v>
      </c>
      <c r="U96" s="17" t="s">
        <v>210</v>
      </c>
      <c r="AG96" s="53" t="s">
        <v>362</v>
      </c>
      <c r="AH96" s="53">
        <v>94</v>
      </c>
    </row>
    <row r="97" spans="8:34" ht="60" x14ac:dyDescent="0.25">
      <c r="H97" s="22">
        <v>617</v>
      </c>
      <c r="I97" s="23" t="s">
        <v>136</v>
      </c>
      <c r="J97" s="28" t="str">
        <f t="shared" si="30"/>
        <v>1001101001</v>
      </c>
      <c r="K97" s="26">
        <f t="shared" si="25"/>
        <v>1001101001</v>
      </c>
      <c r="L97" s="22" t="str">
        <f t="shared" si="26"/>
        <v>0000001001101001</v>
      </c>
      <c r="M97" s="22" t="str">
        <f t="shared" si="27"/>
        <v>01001101001</v>
      </c>
      <c r="N97" s="27" t="str">
        <f t="shared" si="28"/>
        <v>010</v>
      </c>
      <c r="O97" s="27" t="str">
        <f t="shared" si="29"/>
        <v>01101001</v>
      </c>
      <c r="Q97">
        <v>128</v>
      </c>
      <c r="R97" s="17" t="str">
        <f t="shared" si="23"/>
        <v>Motor temperature lower warning threshold</v>
      </c>
      <c r="S97" s="17">
        <v>0</v>
      </c>
      <c r="T97" s="17">
        <v>0</v>
      </c>
      <c r="U97" s="17" t="s">
        <v>210</v>
      </c>
      <c r="AG97" s="53" t="s">
        <v>363</v>
      </c>
      <c r="AH97" s="53">
        <v>95</v>
      </c>
    </row>
    <row r="98" spans="8:34" ht="60" x14ac:dyDescent="0.25">
      <c r="H98" s="22">
        <v>618</v>
      </c>
      <c r="I98" s="23" t="s">
        <v>137</v>
      </c>
      <c r="J98" s="28" t="str">
        <f t="shared" si="30"/>
        <v>1001101010</v>
      </c>
      <c r="K98" s="26">
        <f t="shared" si="25"/>
        <v>1001101010</v>
      </c>
      <c r="L98" s="22" t="str">
        <f t="shared" si="26"/>
        <v>0000001001101010</v>
      </c>
      <c r="M98" s="22" t="str">
        <f t="shared" si="27"/>
        <v>01001101010</v>
      </c>
      <c r="N98" s="27" t="str">
        <f t="shared" si="28"/>
        <v>010</v>
      </c>
      <c r="O98" s="27" t="str">
        <f t="shared" si="29"/>
        <v>01101010</v>
      </c>
      <c r="Q98">
        <v>131</v>
      </c>
      <c r="R98" s="17" t="str">
        <f t="shared" si="23"/>
        <v>Motor temperature lower error threshold</v>
      </c>
      <c r="S98" s="17">
        <v>0</v>
      </c>
      <c r="T98">
        <v>0</v>
      </c>
      <c r="U98" s="17" t="s">
        <v>210</v>
      </c>
      <c r="AG98" s="53" t="s">
        <v>364</v>
      </c>
      <c r="AH98" s="53">
        <v>96</v>
      </c>
    </row>
    <row r="99" spans="8:34" ht="60" x14ac:dyDescent="0.25">
      <c r="H99" s="22">
        <v>619</v>
      </c>
      <c r="I99" s="23" t="s">
        <v>138</v>
      </c>
      <c r="J99" s="28" t="str">
        <f t="shared" si="30"/>
        <v>1001101011</v>
      </c>
      <c r="K99" s="26">
        <f t="shared" si="25"/>
        <v>1001101011</v>
      </c>
      <c r="L99" s="22" t="str">
        <f t="shared" si="26"/>
        <v>0000001001101011</v>
      </c>
      <c r="M99" s="22" t="str">
        <f t="shared" si="27"/>
        <v>01001101011</v>
      </c>
      <c r="N99" s="27" t="str">
        <f t="shared" si="28"/>
        <v>010</v>
      </c>
      <c r="O99" s="27" t="str">
        <f t="shared" si="29"/>
        <v>01101011</v>
      </c>
      <c r="Q99">
        <v>132</v>
      </c>
      <c r="R99" s="17" t="str">
        <f t="shared" si="23"/>
        <v>Bearing temperature error threshold</v>
      </c>
      <c r="S99" s="17">
        <v>0</v>
      </c>
      <c r="T99">
        <v>0</v>
      </c>
      <c r="U99" s="17" t="s">
        <v>210</v>
      </c>
      <c r="AG99" s="53" t="s">
        <v>365</v>
      </c>
      <c r="AH99" s="53">
        <v>97</v>
      </c>
    </row>
    <row r="100" spans="8:34" x14ac:dyDescent="0.25">
      <c r="H100" s="22">
        <v>620</v>
      </c>
      <c r="I100" s="23" t="s">
        <v>139</v>
      </c>
      <c r="J100" s="28" t="str">
        <f t="shared" si="30"/>
        <v>1001101100</v>
      </c>
      <c r="K100" s="26">
        <f t="shared" si="25"/>
        <v>1001101100</v>
      </c>
      <c r="L100" s="22" t="str">
        <f t="shared" si="26"/>
        <v>0000001001101100</v>
      </c>
      <c r="M100" s="22" t="str">
        <f t="shared" si="27"/>
        <v>01001101100</v>
      </c>
      <c r="N100" s="27" t="str">
        <f t="shared" si="28"/>
        <v>010</v>
      </c>
      <c r="O100" s="27" t="str">
        <f t="shared" si="29"/>
        <v>01101100</v>
      </c>
      <c r="Q100">
        <v>133</v>
      </c>
      <c r="R100" s="17" t="str">
        <f t="shared" si="23"/>
        <v>Motor temperature error threshold</v>
      </c>
      <c r="S100" s="17">
        <v>0</v>
      </c>
      <c r="T100">
        <v>0</v>
      </c>
      <c r="U100" s="17" t="s">
        <v>210</v>
      </c>
      <c r="AG100" s="53" t="s">
        <v>366</v>
      </c>
      <c r="AH100" s="53">
        <v>98</v>
      </c>
    </row>
    <row r="101" spans="8:34" ht="45" x14ac:dyDescent="0.25">
      <c r="H101" s="22">
        <v>623</v>
      </c>
      <c r="I101" s="23" t="s">
        <v>140</v>
      </c>
      <c r="J101" s="28" t="str">
        <f t="shared" si="30"/>
        <v>1001101111</v>
      </c>
      <c r="K101" s="26">
        <f t="shared" si="25"/>
        <v>1001101111</v>
      </c>
      <c r="L101" s="22" t="str">
        <f t="shared" si="26"/>
        <v>0000001001101111</v>
      </c>
      <c r="M101" s="22" t="str">
        <f t="shared" si="27"/>
        <v>01001101111</v>
      </c>
      <c r="N101" s="27" t="str">
        <f t="shared" si="28"/>
        <v>010</v>
      </c>
      <c r="O101" s="27" t="str">
        <f t="shared" si="29"/>
        <v>01101111</v>
      </c>
      <c r="Q101">
        <v>134</v>
      </c>
      <c r="R101" s="17" t="str">
        <f t="shared" si="23"/>
        <v>Function of the accessory connections X201 (Index 0) / X202 (Index 1) / X203 (Index 2) (for TURBOVAC iX only)</v>
      </c>
      <c r="S101" s="17">
        <v>0</v>
      </c>
      <c r="T101">
        <v>0</v>
      </c>
      <c r="U101" s="17" t="s">
        <v>223</v>
      </c>
      <c r="AG101" s="53" t="s">
        <v>367</v>
      </c>
      <c r="AH101" s="53">
        <v>99</v>
      </c>
    </row>
    <row r="102" spans="8:34" ht="45" x14ac:dyDescent="0.25">
      <c r="H102" s="22">
        <v>624</v>
      </c>
      <c r="I102" s="23" t="s">
        <v>141</v>
      </c>
      <c r="J102" s="28" t="str">
        <f t="shared" si="30"/>
        <v>1001110000</v>
      </c>
      <c r="K102" s="26">
        <f t="shared" si="25"/>
        <v>1001110000</v>
      </c>
      <c r="L102" s="22" t="str">
        <f t="shared" si="26"/>
        <v>0000001001110000</v>
      </c>
      <c r="M102" s="22" t="str">
        <f t="shared" si="27"/>
        <v>01001110000</v>
      </c>
      <c r="N102" s="27" t="str">
        <f t="shared" si="28"/>
        <v>010</v>
      </c>
      <c r="O102" s="27" t="str">
        <f t="shared" si="29"/>
        <v>01110000</v>
      </c>
      <c r="Q102">
        <v>134</v>
      </c>
      <c r="R102" s="17" t="str">
        <f t="shared" si="23"/>
        <v>Function of the accessory connections X201 (Index 0) / X202 (Index 1) / X203 (Index 2) (for TURBOVAC iX only)</v>
      </c>
      <c r="S102" s="17"/>
      <c r="T102">
        <v>1</v>
      </c>
      <c r="U102" s="17" t="s">
        <v>224</v>
      </c>
      <c r="AG102" s="53" t="s">
        <v>368</v>
      </c>
      <c r="AH102" s="53">
        <v>100</v>
      </c>
    </row>
    <row r="103" spans="8:34" ht="45" x14ac:dyDescent="0.25">
      <c r="H103" s="22">
        <v>625</v>
      </c>
      <c r="I103" s="23" t="s">
        <v>142</v>
      </c>
      <c r="J103" s="28" t="str">
        <f t="shared" si="30"/>
        <v>1001110001</v>
      </c>
      <c r="K103" s="26">
        <f t="shared" si="25"/>
        <v>1001110001</v>
      </c>
      <c r="L103" s="22" t="str">
        <f t="shared" si="26"/>
        <v>0000001001110001</v>
      </c>
      <c r="M103" s="22" t="str">
        <f t="shared" si="27"/>
        <v>01001110001</v>
      </c>
      <c r="N103" s="27" t="str">
        <f t="shared" si="28"/>
        <v>010</v>
      </c>
      <c r="O103" s="27" t="str">
        <f t="shared" si="29"/>
        <v>01110001</v>
      </c>
      <c r="Q103">
        <v>134</v>
      </c>
      <c r="R103" s="17" t="str">
        <f t="shared" si="23"/>
        <v>Function of the accessory connections X201 (Index 0) / X202 (Index 1) / X203 (Index 2) (for TURBOVAC iX only)</v>
      </c>
      <c r="S103" s="17"/>
      <c r="T103">
        <v>2</v>
      </c>
      <c r="U103" s="17" t="s">
        <v>225</v>
      </c>
      <c r="AG103" s="53" t="s">
        <v>369</v>
      </c>
      <c r="AH103" s="53">
        <v>101</v>
      </c>
    </row>
    <row r="104" spans="8:34" ht="105" x14ac:dyDescent="0.25">
      <c r="H104" s="22">
        <v>634</v>
      </c>
      <c r="I104" s="23" t="s">
        <v>143</v>
      </c>
      <c r="J104" s="28" t="str">
        <f t="shared" si="30"/>
        <v>1001111010</v>
      </c>
      <c r="K104" s="26">
        <f t="shared" si="25"/>
        <v>1001111010</v>
      </c>
      <c r="L104" s="22" t="str">
        <f t="shared" si="26"/>
        <v>0000001001111010</v>
      </c>
      <c r="M104" s="22" t="str">
        <f t="shared" si="27"/>
        <v>01001111010</v>
      </c>
      <c r="N104" s="27" t="str">
        <f t="shared" si="28"/>
        <v>010</v>
      </c>
      <c r="O104" s="27" t="str">
        <f t="shared" si="29"/>
        <v>01111010</v>
      </c>
      <c r="Q104">
        <v>134</v>
      </c>
      <c r="R104" s="17" t="str">
        <f t="shared" si="23"/>
        <v>Function of the accessory connections X201 (Index 0) / X202 (Index 1) / X203 (Index 2) (for TURBOVAC iX only)</v>
      </c>
      <c r="S104" s="17"/>
      <c r="T104">
        <v>3</v>
      </c>
      <c r="U104" s="17" t="s">
        <v>226</v>
      </c>
      <c r="AG104" s="53" t="s">
        <v>370</v>
      </c>
      <c r="AH104" s="53">
        <v>102</v>
      </c>
    </row>
    <row r="105" spans="8:34" ht="105" x14ac:dyDescent="0.25">
      <c r="H105" s="22">
        <v>636</v>
      </c>
      <c r="I105" s="23" t="s">
        <v>144</v>
      </c>
      <c r="J105" s="28" t="str">
        <f t="shared" si="30"/>
        <v>1001111100</v>
      </c>
      <c r="K105" s="26">
        <f t="shared" si="25"/>
        <v>1001111100</v>
      </c>
      <c r="L105" s="22" t="str">
        <f t="shared" si="26"/>
        <v>0000001001111100</v>
      </c>
      <c r="M105" s="22" t="str">
        <f t="shared" si="27"/>
        <v>01001111100</v>
      </c>
      <c r="N105" s="27" t="str">
        <f t="shared" si="28"/>
        <v>010</v>
      </c>
      <c r="O105" s="27" t="str">
        <f t="shared" si="29"/>
        <v>01111100</v>
      </c>
      <c r="Q105">
        <v>134</v>
      </c>
      <c r="R105" s="17" t="str">
        <f t="shared" si="23"/>
        <v>Function of the accessory connections X201 (Index 0) / X202 (Index 1) / X203 (Index 2) (for TURBOVAC iX only)</v>
      </c>
      <c r="S105" s="17"/>
      <c r="T105">
        <v>4</v>
      </c>
      <c r="U105" s="17" t="s">
        <v>227</v>
      </c>
      <c r="AG105" s="53" t="s">
        <v>371</v>
      </c>
      <c r="AH105" s="53">
        <v>103</v>
      </c>
    </row>
    <row r="106" spans="8:34" ht="60" x14ac:dyDescent="0.25">
      <c r="H106" s="22">
        <v>643</v>
      </c>
      <c r="I106" s="23" t="s">
        <v>145</v>
      </c>
      <c r="J106" s="28" t="str">
        <f t="shared" si="30"/>
        <v>1010000011</v>
      </c>
      <c r="K106" s="26">
        <f t="shared" si="25"/>
        <v>1010000011</v>
      </c>
      <c r="L106" s="22" t="str">
        <f t="shared" si="26"/>
        <v>0000001010000011</v>
      </c>
      <c r="M106" s="22" t="str">
        <f t="shared" si="27"/>
        <v>01010000011</v>
      </c>
      <c r="N106" s="27" t="str">
        <f t="shared" si="28"/>
        <v>010</v>
      </c>
      <c r="O106" s="27" t="str">
        <f t="shared" si="29"/>
        <v>10000011</v>
      </c>
      <c r="Q106">
        <v>134</v>
      </c>
      <c r="R106" s="17" t="str">
        <f t="shared" si="23"/>
        <v>Function of the accessory connections X201 (Index 0) / X202 (Index 1) / X203 (Index 2) (for TURBOVAC iX only)</v>
      </c>
      <c r="S106" s="17"/>
      <c r="T106">
        <v>5</v>
      </c>
      <c r="U106" s="17" t="s">
        <v>228</v>
      </c>
      <c r="AG106" s="53" t="s">
        <v>372</v>
      </c>
      <c r="AH106" s="53">
        <v>104</v>
      </c>
    </row>
    <row r="107" spans="8:34" ht="60" x14ac:dyDescent="0.25">
      <c r="H107" s="22">
        <v>644</v>
      </c>
      <c r="I107" s="23" t="s">
        <v>146</v>
      </c>
      <c r="J107" s="28" t="str">
        <f t="shared" si="30"/>
        <v>1010000100</v>
      </c>
      <c r="K107" s="26">
        <f t="shared" si="25"/>
        <v>1010000100</v>
      </c>
      <c r="L107" s="22" t="str">
        <f t="shared" si="26"/>
        <v>0000001010000100</v>
      </c>
      <c r="M107" s="22" t="str">
        <f t="shared" si="27"/>
        <v>01010000100</v>
      </c>
      <c r="N107" s="27" t="str">
        <f t="shared" si="28"/>
        <v>010</v>
      </c>
      <c r="O107" s="27" t="str">
        <f t="shared" si="29"/>
        <v>10000100</v>
      </c>
      <c r="Q107">
        <v>134</v>
      </c>
      <c r="R107" s="17" t="str">
        <f t="shared" si="23"/>
        <v>Function of the accessory connections X201 (Index 0) / X202 (Index 1) / X203 (Index 2) (for TURBOVAC iX only)</v>
      </c>
      <c r="S107" s="17"/>
      <c r="T107">
        <v>6</v>
      </c>
      <c r="U107" s="17" t="s">
        <v>229</v>
      </c>
      <c r="AG107" s="53" t="s">
        <v>373</v>
      </c>
      <c r="AH107" s="53">
        <v>105</v>
      </c>
    </row>
    <row r="108" spans="8:34" ht="60" x14ac:dyDescent="0.25">
      <c r="H108" s="22">
        <v>647</v>
      </c>
      <c r="I108" s="23" t="s">
        <v>147</v>
      </c>
      <c r="J108" s="28" t="str">
        <f t="shared" si="30"/>
        <v>1010000111</v>
      </c>
      <c r="K108" s="26">
        <f t="shared" si="25"/>
        <v>1010000111</v>
      </c>
      <c r="L108" s="22" t="str">
        <f t="shared" si="26"/>
        <v>0000001010000111</v>
      </c>
      <c r="M108" s="22" t="str">
        <f t="shared" si="27"/>
        <v>01010000111</v>
      </c>
      <c r="N108" s="27" t="str">
        <f t="shared" si="28"/>
        <v>010</v>
      </c>
      <c r="O108" s="27" t="str">
        <f t="shared" si="29"/>
        <v>10000111</v>
      </c>
      <c r="Q108">
        <v>134</v>
      </c>
      <c r="R108" s="17" t="str">
        <f t="shared" si="23"/>
        <v>Function of the accessory connections X201 (Index 0) / X202 (Index 1) / X203 (Index 2) (for TURBOVAC iX only)</v>
      </c>
      <c r="S108" s="17"/>
      <c r="T108">
        <v>7</v>
      </c>
      <c r="U108" s="17" t="s">
        <v>230</v>
      </c>
      <c r="AG108" s="53" t="s">
        <v>374</v>
      </c>
      <c r="AH108" s="53">
        <v>106</v>
      </c>
    </row>
    <row r="109" spans="8:34" ht="60" x14ac:dyDescent="0.25">
      <c r="H109" s="22">
        <v>648</v>
      </c>
      <c r="I109" s="23" t="s">
        <v>148</v>
      </c>
      <c r="J109" s="28" t="str">
        <f t="shared" si="30"/>
        <v>1010001000</v>
      </c>
      <c r="K109" s="26">
        <f t="shared" si="25"/>
        <v>1010001000</v>
      </c>
      <c r="L109" s="22" t="str">
        <f t="shared" si="26"/>
        <v>0000001010001000</v>
      </c>
      <c r="M109" s="22" t="str">
        <f t="shared" si="27"/>
        <v>01010001000</v>
      </c>
      <c r="N109" s="27" t="str">
        <f t="shared" si="28"/>
        <v>010</v>
      </c>
      <c r="O109" s="27" t="str">
        <f t="shared" si="29"/>
        <v>10001000</v>
      </c>
      <c r="Q109">
        <v>134</v>
      </c>
      <c r="R109" s="17" t="str">
        <f t="shared" si="23"/>
        <v>Function of the accessory connections X201 (Index 0) / X202 (Index 1) / X203 (Index 2) (for TURBOVAC iX only)</v>
      </c>
      <c r="S109" s="17"/>
      <c r="T109">
        <v>8</v>
      </c>
      <c r="U109" s="17" t="s">
        <v>231</v>
      </c>
      <c r="AG109" s="53" t="s">
        <v>375</v>
      </c>
      <c r="AH109" s="53">
        <v>107</v>
      </c>
    </row>
    <row r="110" spans="8:34" ht="60" x14ac:dyDescent="0.25">
      <c r="H110" s="22">
        <v>649</v>
      </c>
      <c r="I110" s="23" t="s">
        <v>149</v>
      </c>
      <c r="J110" s="28" t="str">
        <f t="shared" si="30"/>
        <v>1010001001</v>
      </c>
      <c r="K110" s="26">
        <f t="shared" si="25"/>
        <v>1010001001</v>
      </c>
      <c r="L110" s="22" t="str">
        <f t="shared" si="26"/>
        <v>0000001010001001</v>
      </c>
      <c r="M110" s="22" t="str">
        <f t="shared" si="27"/>
        <v>01010001001</v>
      </c>
      <c r="N110" s="27" t="str">
        <f t="shared" si="28"/>
        <v>010</v>
      </c>
      <c r="O110" s="27" t="str">
        <f t="shared" si="29"/>
        <v>10001001</v>
      </c>
      <c r="Q110">
        <v>140</v>
      </c>
      <c r="R110" s="17" t="str">
        <f t="shared" si="23"/>
        <v>Intermediate circuit current</v>
      </c>
      <c r="S110">
        <v>0</v>
      </c>
      <c r="T110" s="17">
        <v>0</v>
      </c>
      <c r="U110" s="17" t="s">
        <v>180</v>
      </c>
      <c r="AG110" s="53" t="s">
        <v>376</v>
      </c>
      <c r="AH110" s="53">
        <v>108</v>
      </c>
    </row>
    <row r="111" spans="8:34" ht="60" x14ac:dyDescent="0.25">
      <c r="H111" s="22">
        <v>652</v>
      </c>
      <c r="I111" s="23" t="s">
        <v>150</v>
      </c>
      <c r="J111" s="28" t="str">
        <f t="shared" si="30"/>
        <v>1010001100</v>
      </c>
      <c r="K111" s="26">
        <f t="shared" si="25"/>
        <v>1010001100</v>
      </c>
      <c r="L111" s="22" t="str">
        <f t="shared" si="26"/>
        <v>0000001010001100</v>
      </c>
      <c r="M111" s="22" t="str">
        <f t="shared" si="27"/>
        <v>01010001100</v>
      </c>
      <c r="N111" s="27" t="str">
        <f t="shared" si="28"/>
        <v>010</v>
      </c>
      <c r="O111" s="27" t="str">
        <f t="shared" si="29"/>
        <v>10001100</v>
      </c>
      <c r="Q111">
        <v>150</v>
      </c>
      <c r="R111" s="17" t="str">
        <f t="shared" si="23"/>
        <v>Standby frequency</v>
      </c>
      <c r="S111">
        <v>0</v>
      </c>
      <c r="T111" s="17">
        <v>0</v>
      </c>
      <c r="U111" s="17" t="s">
        <v>180</v>
      </c>
      <c r="AG111" s="53" t="s">
        <v>377</v>
      </c>
      <c r="AH111" s="53">
        <v>109</v>
      </c>
    </row>
    <row r="112" spans="8:34" ht="409.5" x14ac:dyDescent="0.25">
      <c r="H112" s="22">
        <v>670</v>
      </c>
      <c r="I112" s="23" t="s">
        <v>151</v>
      </c>
      <c r="J112" s="28" t="str">
        <f t="shared" si="30"/>
        <v>1010011110</v>
      </c>
      <c r="K112" s="26">
        <f t="shared" si="25"/>
        <v>1010011110</v>
      </c>
      <c r="L112" s="22" t="str">
        <f t="shared" si="26"/>
        <v>0000001010011110</v>
      </c>
      <c r="M112" s="22" t="str">
        <f t="shared" si="27"/>
        <v>01010011110</v>
      </c>
      <c r="N112" s="27" t="str">
        <f t="shared" si="28"/>
        <v>010</v>
      </c>
      <c r="O112" s="27" t="str">
        <f t="shared" si="29"/>
        <v>10011110</v>
      </c>
      <c r="Q112">
        <v>171</v>
      </c>
      <c r="R112" s="17" t="str">
        <f t="shared" si="23"/>
        <v>Error code memory</v>
      </c>
      <c r="S112">
        <v>0</v>
      </c>
      <c r="T112" s="17">
        <v>0</v>
      </c>
      <c r="U112" s="17" t="s">
        <v>180</v>
      </c>
      <c r="V112" s="17" t="s">
        <v>232</v>
      </c>
      <c r="AG112" s="53" t="s">
        <v>378</v>
      </c>
      <c r="AH112" s="53">
        <v>110</v>
      </c>
    </row>
    <row r="113" spans="8:34" ht="90" x14ac:dyDescent="0.25">
      <c r="H113" s="22">
        <v>671</v>
      </c>
      <c r="I113" s="23" t="s">
        <v>152</v>
      </c>
      <c r="J113" s="28" t="str">
        <f t="shared" si="30"/>
        <v>1010011111</v>
      </c>
      <c r="K113" s="26">
        <f t="shared" si="25"/>
        <v>1010011111</v>
      </c>
      <c r="L113" s="22" t="str">
        <f t="shared" si="26"/>
        <v>0000001010011111</v>
      </c>
      <c r="M113" s="22" t="str">
        <f t="shared" si="27"/>
        <v>01010011111</v>
      </c>
      <c r="N113" s="27" t="str">
        <f t="shared" si="28"/>
        <v>010</v>
      </c>
      <c r="O113" s="27" t="str">
        <f t="shared" si="29"/>
        <v>10011111</v>
      </c>
      <c r="Q113">
        <v>174</v>
      </c>
      <c r="R113" s="17" t="str">
        <f t="shared" si="23"/>
        <v>Rotational frequency at time of the error</v>
      </c>
      <c r="S113">
        <v>0</v>
      </c>
      <c r="T113" s="17">
        <v>0</v>
      </c>
      <c r="U113" s="17" t="s">
        <v>180</v>
      </c>
      <c r="V113" t="s">
        <v>234</v>
      </c>
      <c r="AG113" s="53" t="s">
        <v>379</v>
      </c>
      <c r="AH113" s="53">
        <v>111</v>
      </c>
    </row>
    <row r="114" spans="8:34" ht="90" x14ac:dyDescent="0.25">
      <c r="H114" s="22">
        <v>672</v>
      </c>
      <c r="I114" s="23" t="s">
        <v>153</v>
      </c>
      <c r="J114" s="28" t="str">
        <f t="shared" si="30"/>
        <v>1010100000</v>
      </c>
      <c r="K114" s="26">
        <f t="shared" si="25"/>
        <v>1010100000</v>
      </c>
      <c r="L114" s="22" t="str">
        <f t="shared" si="26"/>
        <v>0000001010100000</v>
      </c>
      <c r="M114" s="22" t="str">
        <f t="shared" si="27"/>
        <v>01010100000</v>
      </c>
      <c r="N114" s="27" t="str">
        <f t="shared" si="28"/>
        <v>010</v>
      </c>
      <c r="O114" s="27" t="str">
        <f t="shared" si="29"/>
        <v>10100000</v>
      </c>
      <c r="Q114">
        <v>176</v>
      </c>
      <c r="R114" s="17" t="str">
        <f t="shared" si="23"/>
        <v>Operat. hours count at time of error</v>
      </c>
      <c r="S114">
        <v>0</v>
      </c>
      <c r="T114" s="17">
        <v>0</v>
      </c>
      <c r="U114" s="17" t="s">
        <v>180</v>
      </c>
      <c r="V114" t="s">
        <v>234</v>
      </c>
      <c r="AG114" s="53" t="s">
        <v>380</v>
      </c>
      <c r="AH114" s="53">
        <v>112</v>
      </c>
    </row>
    <row r="115" spans="8:34" ht="75" x14ac:dyDescent="0.25">
      <c r="H115" s="22">
        <v>673</v>
      </c>
      <c r="I115" s="23" t="s">
        <v>154</v>
      </c>
      <c r="J115" s="28" t="str">
        <f t="shared" si="30"/>
        <v>1010100001</v>
      </c>
      <c r="K115" s="26">
        <f t="shared" si="25"/>
        <v>1010100001</v>
      </c>
      <c r="L115" s="22" t="str">
        <f t="shared" si="26"/>
        <v>0000001010100001</v>
      </c>
      <c r="M115" s="22" t="str">
        <f t="shared" si="27"/>
        <v>01010100001</v>
      </c>
      <c r="N115" s="27" t="str">
        <f t="shared" si="28"/>
        <v>010</v>
      </c>
      <c r="O115" s="27" t="str">
        <f t="shared" si="29"/>
        <v>10100001</v>
      </c>
      <c r="Q115">
        <v>179</v>
      </c>
      <c r="R115" s="17" t="str">
        <f t="shared" si="23"/>
        <v>Response when cancelling the control rights or in the case of a communication interruption of the bus adapter</v>
      </c>
      <c r="S115">
        <v>0</v>
      </c>
      <c r="T115" s="17">
        <v>0</v>
      </c>
      <c r="U115" s="17" t="s">
        <v>180</v>
      </c>
      <c r="AG115" s="53" t="s">
        <v>381</v>
      </c>
      <c r="AH115" s="53">
        <v>113</v>
      </c>
    </row>
    <row r="116" spans="8:34" ht="30" x14ac:dyDescent="0.25">
      <c r="H116" s="22">
        <v>678</v>
      </c>
      <c r="I116" s="23" t="s">
        <v>155</v>
      </c>
      <c r="J116" s="28" t="str">
        <f t="shared" si="30"/>
        <v>1010100110</v>
      </c>
      <c r="K116" s="26">
        <f t="shared" si="25"/>
        <v>1010100110</v>
      </c>
      <c r="L116" s="22" t="str">
        <f t="shared" si="26"/>
        <v>0000001010100110</v>
      </c>
      <c r="M116" s="22" t="str">
        <f t="shared" si="27"/>
        <v>01010100110</v>
      </c>
      <c r="N116" s="27" t="str">
        <f t="shared" si="28"/>
        <v>010</v>
      </c>
      <c r="O116" s="27" t="str">
        <f t="shared" si="29"/>
        <v>10100110</v>
      </c>
      <c r="Q116">
        <v>180</v>
      </c>
      <c r="R116" s="17" t="str">
        <f t="shared" si="23"/>
        <v>USS Response delay time</v>
      </c>
      <c r="S116">
        <v>0</v>
      </c>
      <c r="T116" s="17">
        <v>0</v>
      </c>
      <c r="U116" s="17" t="s">
        <v>180</v>
      </c>
      <c r="AG116" s="53" t="s">
        <v>382</v>
      </c>
      <c r="AH116" s="53">
        <v>114</v>
      </c>
    </row>
    <row r="117" spans="8:34" ht="75" x14ac:dyDescent="0.25">
      <c r="H117" s="22">
        <v>679</v>
      </c>
      <c r="I117" s="23" t="s">
        <v>156</v>
      </c>
      <c r="J117" s="28" t="str">
        <f t="shared" si="30"/>
        <v>1010100111</v>
      </c>
      <c r="K117" s="26">
        <f t="shared" si="25"/>
        <v>1010100111</v>
      </c>
      <c r="L117" s="22" t="str">
        <f t="shared" si="26"/>
        <v>0000001010100111</v>
      </c>
      <c r="M117" s="22" t="str">
        <f t="shared" si="27"/>
        <v>01010100111</v>
      </c>
      <c r="N117" s="27" t="str">
        <f t="shared" si="28"/>
        <v>010</v>
      </c>
      <c r="O117" s="27" t="str">
        <f t="shared" si="29"/>
        <v>10100111</v>
      </c>
      <c r="Q117">
        <v>182</v>
      </c>
      <c r="R117" s="17" t="str">
        <f t="shared" ref="R117:R128" si="31">VLOOKUP(Q117,$H$20:$I$128,2,FALSE)</f>
        <v>Delay when cancelling the control rights of the bus adapter and time-out in the case of a communication interruption</v>
      </c>
      <c r="S117">
        <v>0</v>
      </c>
      <c r="T117" s="17">
        <v>0</v>
      </c>
      <c r="U117" s="17" t="s">
        <v>180</v>
      </c>
      <c r="AG117" s="53" t="s">
        <v>383</v>
      </c>
      <c r="AH117" s="53">
        <v>115</v>
      </c>
    </row>
    <row r="118" spans="8:34" ht="45" x14ac:dyDescent="0.25">
      <c r="H118" s="22">
        <v>682</v>
      </c>
      <c r="I118" s="23" t="s">
        <v>157</v>
      </c>
      <c r="J118" s="28" t="str">
        <f t="shared" si="30"/>
        <v>1010101010</v>
      </c>
      <c r="K118" s="26">
        <f t="shared" si="25"/>
        <v>1010101010</v>
      </c>
      <c r="L118" s="22" t="str">
        <f t="shared" si="26"/>
        <v>0000001010101010</v>
      </c>
      <c r="M118" s="22" t="str">
        <f t="shared" si="27"/>
        <v>01010101010</v>
      </c>
      <c r="N118" s="27" t="str">
        <f t="shared" si="28"/>
        <v>010</v>
      </c>
      <c r="O118" s="27" t="str">
        <f t="shared" si="29"/>
        <v>10101010</v>
      </c>
      <c r="Q118">
        <v>183</v>
      </c>
      <c r="R118" s="17" t="str">
        <f t="shared" si="31"/>
        <v>Max. passing time</v>
      </c>
      <c r="S118">
        <v>0</v>
      </c>
      <c r="T118" s="17">
        <v>0</v>
      </c>
      <c r="U118" s="17" t="s">
        <v>180</v>
      </c>
      <c r="AG118" s="53" t="s">
        <v>384</v>
      </c>
      <c r="AH118" s="53">
        <v>116</v>
      </c>
    </row>
    <row r="119" spans="8:34" ht="120" x14ac:dyDescent="0.25">
      <c r="H119" s="22">
        <v>686</v>
      </c>
      <c r="I119" s="23" t="s">
        <v>158</v>
      </c>
      <c r="J119" s="28" t="str">
        <f t="shared" si="30"/>
        <v>1010101110</v>
      </c>
      <c r="K119" s="26">
        <f t="shared" si="25"/>
        <v>1010101110</v>
      </c>
      <c r="L119" s="22" t="str">
        <f t="shared" si="26"/>
        <v>0000001010101110</v>
      </c>
      <c r="M119" s="22" t="str">
        <f t="shared" si="27"/>
        <v>01010101110</v>
      </c>
      <c r="N119" s="27" t="str">
        <f t="shared" si="28"/>
        <v>010</v>
      </c>
      <c r="O119" s="27" t="str">
        <f t="shared" si="29"/>
        <v>10101110</v>
      </c>
      <c r="Q119">
        <v>184</v>
      </c>
      <c r="R119" s="17" t="str">
        <f t="shared" si="31"/>
        <v>Converter operating hours</v>
      </c>
      <c r="S119" s="17">
        <v>0</v>
      </c>
      <c r="T119" s="17">
        <v>0</v>
      </c>
      <c r="U119" s="17" t="s">
        <v>180</v>
      </c>
      <c r="AG119" s="53" t="s">
        <v>385</v>
      </c>
      <c r="AH119" s="53">
        <v>117</v>
      </c>
    </row>
    <row r="120" spans="8:34" ht="60" x14ac:dyDescent="0.25">
      <c r="H120" s="22">
        <v>690</v>
      </c>
      <c r="I120" s="23" t="s">
        <v>159</v>
      </c>
      <c r="J120" s="28" t="str">
        <f t="shared" si="30"/>
        <v>1010110010</v>
      </c>
      <c r="K120" s="26">
        <f t="shared" si="25"/>
        <v>1010110010</v>
      </c>
      <c r="L120" s="22" t="str">
        <f t="shared" si="26"/>
        <v>0000001010110010</v>
      </c>
      <c r="M120" s="22" t="str">
        <f t="shared" si="27"/>
        <v>01010110010</v>
      </c>
      <c r="N120" s="27" t="str">
        <f t="shared" si="28"/>
        <v>010</v>
      </c>
      <c r="O120" s="27" t="str">
        <f t="shared" si="29"/>
        <v>10110010</v>
      </c>
      <c r="Q120">
        <v>185</v>
      </c>
      <c r="R120" s="17" t="str">
        <f t="shared" si="31"/>
        <v>Max. converter DC input current</v>
      </c>
      <c r="S120" s="17">
        <v>0</v>
      </c>
      <c r="T120" s="17">
        <v>0</v>
      </c>
      <c r="U120" s="17" t="s">
        <v>180</v>
      </c>
      <c r="AG120" s="53" t="s">
        <v>386</v>
      </c>
      <c r="AH120" s="53">
        <v>118</v>
      </c>
    </row>
    <row r="121" spans="8:34" ht="45" x14ac:dyDescent="0.25">
      <c r="H121" s="22">
        <v>918</v>
      </c>
      <c r="I121" s="23" t="s">
        <v>160</v>
      </c>
      <c r="J121" s="28" t="str">
        <f t="shared" si="30"/>
        <v>1110010110</v>
      </c>
      <c r="K121" s="26">
        <f t="shared" si="25"/>
        <v>1110010110</v>
      </c>
      <c r="L121" s="22" t="str">
        <f t="shared" si="26"/>
        <v>0000001110010110</v>
      </c>
      <c r="M121" s="22" t="str">
        <f t="shared" si="27"/>
        <v>01110010110</v>
      </c>
      <c r="N121" s="27" t="str">
        <f t="shared" si="28"/>
        <v>011</v>
      </c>
      <c r="O121" s="27" t="str">
        <f t="shared" si="29"/>
        <v>10010110</v>
      </c>
      <c r="Q121">
        <v>227</v>
      </c>
      <c r="R121" s="17" t="str">
        <f t="shared" si="31"/>
        <v>Active warnings described bit per bit.</v>
      </c>
      <c r="S121" s="17">
        <v>0</v>
      </c>
      <c r="T121" s="17" t="s">
        <v>235</v>
      </c>
      <c r="U121" s="34" t="s">
        <v>248</v>
      </c>
      <c r="AG121" s="53" t="s">
        <v>387</v>
      </c>
      <c r="AH121" s="53">
        <v>119</v>
      </c>
    </row>
    <row r="122" spans="8:34" ht="30" x14ac:dyDescent="0.25">
      <c r="H122" s="22">
        <v>923</v>
      </c>
      <c r="I122" s="23" t="s">
        <v>161</v>
      </c>
      <c r="J122" s="28" t="str">
        <f t="shared" si="30"/>
        <v>1110011011</v>
      </c>
      <c r="K122" s="26">
        <f t="shared" si="25"/>
        <v>1110011011</v>
      </c>
      <c r="L122" s="22" t="str">
        <f t="shared" si="26"/>
        <v>0000001110011011</v>
      </c>
      <c r="M122" s="22" t="str">
        <f t="shared" si="27"/>
        <v>01110011011</v>
      </c>
      <c r="N122" s="27" t="str">
        <f t="shared" si="28"/>
        <v>011</v>
      </c>
      <c r="O122" s="27" t="str">
        <f t="shared" si="29"/>
        <v>10011011</v>
      </c>
      <c r="Q122">
        <v>227</v>
      </c>
      <c r="R122" s="17" t="str">
        <f t="shared" si="31"/>
        <v>Active warnings described bit per bit.</v>
      </c>
      <c r="S122" s="17">
        <v>0</v>
      </c>
      <c r="T122"/>
      <c r="AG122" s="53" t="s">
        <v>388</v>
      </c>
      <c r="AH122" s="53">
        <v>120</v>
      </c>
    </row>
    <row r="123" spans="8:34" ht="30" x14ac:dyDescent="0.25">
      <c r="H123" s="22">
        <v>924</v>
      </c>
      <c r="I123" s="23" t="s">
        <v>162</v>
      </c>
      <c r="J123" s="28" t="str">
        <f t="shared" si="30"/>
        <v>1110011100</v>
      </c>
      <c r="K123" s="26">
        <f t="shared" si="25"/>
        <v>1110011100</v>
      </c>
      <c r="L123" s="22" t="str">
        <f t="shared" si="26"/>
        <v>0000001110011100</v>
      </c>
      <c r="M123" s="22" t="str">
        <f t="shared" si="27"/>
        <v>01110011100</v>
      </c>
      <c r="N123" s="27" t="str">
        <f t="shared" si="28"/>
        <v>011</v>
      </c>
      <c r="O123" s="27" t="str">
        <f t="shared" si="29"/>
        <v>10011100</v>
      </c>
      <c r="Q123">
        <v>227</v>
      </c>
      <c r="R123" s="17" t="str">
        <f t="shared" si="31"/>
        <v>Active warnings described bit per bit.</v>
      </c>
      <c r="S123" s="17">
        <v>0</v>
      </c>
      <c r="T123"/>
      <c r="AG123" s="53" t="s">
        <v>389</v>
      </c>
      <c r="AH123" s="53">
        <v>121</v>
      </c>
    </row>
    <row r="124" spans="8:34" ht="45" x14ac:dyDescent="0.25">
      <c r="H124" s="22">
        <v>1025</v>
      </c>
      <c r="I124" s="23" t="s">
        <v>163</v>
      </c>
      <c r="J124" s="28" t="str">
        <f t="shared" si="30"/>
        <v>10000000001</v>
      </c>
      <c r="K124" s="26">
        <f t="shared" si="25"/>
        <v>10000000001</v>
      </c>
      <c r="L124" s="22" t="str">
        <f t="shared" si="26"/>
        <v>0000010000000001</v>
      </c>
      <c r="M124" s="22" t="str">
        <f t="shared" si="27"/>
        <v>10000000001</v>
      </c>
      <c r="N124" s="27" t="str">
        <f t="shared" si="28"/>
        <v>100</v>
      </c>
      <c r="O124" s="27" t="str">
        <f t="shared" si="29"/>
        <v>00000001</v>
      </c>
      <c r="Q124">
        <v>227</v>
      </c>
      <c r="R124" s="17" t="str">
        <f t="shared" si="31"/>
        <v>Active warnings described bit per bit.</v>
      </c>
      <c r="S124" s="17">
        <v>0</v>
      </c>
      <c r="T124"/>
      <c r="AG124" s="53" t="s">
        <v>390</v>
      </c>
      <c r="AH124" s="53">
        <v>122</v>
      </c>
    </row>
    <row r="125" spans="8:34" ht="30" x14ac:dyDescent="0.25">
      <c r="H125" s="22">
        <v>1035</v>
      </c>
      <c r="I125" s="23" t="s">
        <v>164</v>
      </c>
      <c r="J125" s="28" t="str">
        <f t="shared" si="30"/>
        <v>10000001011</v>
      </c>
      <c r="K125" s="26">
        <f t="shared" si="25"/>
        <v>10000001011</v>
      </c>
      <c r="L125" s="22" t="str">
        <f t="shared" si="26"/>
        <v>0000010000001011</v>
      </c>
      <c r="M125" s="22" t="str">
        <f t="shared" si="27"/>
        <v>10000001011</v>
      </c>
      <c r="N125" s="27" t="str">
        <f t="shared" si="28"/>
        <v>100</v>
      </c>
      <c r="O125" s="27" t="str">
        <f t="shared" si="29"/>
        <v>00001011</v>
      </c>
      <c r="Q125">
        <v>227</v>
      </c>
      <c r="R125" s="17" t="str">
        <f t="shared" si="31"/>
        <v>Active warnings described bit per bit.</v>
      </c>
      <c r="S125" s="17">
        <v>0</v>
      </c>
      <c r="T125"/>
      <c r="AG125" s="53" t="s">
        <v>391</v>
      </c>
      <c r="AH125" s="53">
        <v>123</v>
      </c>
    </row>
    <row r="126" spans="8:34" ht="75" x14ac:dyDescent="0.25">
      <c r="H126" s="22">
        <v>1100</v>
      </c>
      <c r="I126" s="23" t="s">
        <v>165</v>
      </c>
      <c r="J126" s="28" t="str">
        <f t="shared" si="30"/>
        <v>10001001100</v>
      </c>
      <c r="K126" s="26">
        <f t="shared" si="25"/>
        <v>10001001100</v>
      </c>
      <c r="L126" s="22" t="str">
        <f t="shared" si="26"/>
        <v>0000010001001100</v>
      </c>
      <c r="M126" s="22" t="str">
        <f t="shared" si="27"/>
        <v>10001001100</v>
      </c>
      <c r="N126" s="27" t="str">
        <f t="shared" si="28"/>
        <v>100</v>
      </c>
      <c r="O126" s="27" t="str">
        <f t="shared" si="29"/>
        <v>01001100</v>
      </c>
      <c r="Q126">
        <v>227</v>
      </c>
      <c r="R126" s="17" t="str">
        <f t="shared" si="31"/>
        <v>Active warnings described bit per bit.</v>
      </c>
      <c r="S126" s="17">
        <v>0</v>
      </c>
      <c r="T126"/>
      <c r="AG126" s="53" t="s">
        <v>392</v>
      </c>
      <c r="AH126" s="53">
        <v>124</v>
      </c>
    </row>
    <row r="127" spans="8:34" ht="75" x14ac:dyDescent="0.25">
      <c r="H127" s="22">
        <v>1101</v>
      </c>
      <c r="I127" s="23" t="s">
        <v>166</v>
      </c>
      <c r="J127" s="28" t="str">
        <f t="shared" si="30"/>
        <v>10001001101</v>
      </c>
      <c r="K127" s="26">
        <f t="shared" si="25"/>
        <v>10001001101</v>
      </c>
      <c r="L127" s="22" t="str">
        <f t="shared" si="26"/>
        <v>0000010001001101</v>
      </c>
      <c r="M127" s="22" t="str">
        <f t="shared" si="27"/>
        <v>10001001101</v>
      </c>
      <c r="N127" s="27" t="str">
        <f t="shared" si="28"/>
        <v>100</v>
      </c>
      <c r="O127" s="27" t="str">
        <f t="shared" si="29"/>
        <v>01001101</v>
      </c>
      <c r="Q127">
        <v>227</v>
      </c>
      <c r="R127" s="17" t="str">
        <f t="shared" si="31"/>
        <v>Active warnings described bit per bit.</v>
      </c>
      <c r="S127" s="17">
        <v>0</v>
      </c>
      <c r="T127"/>
      <c r="AG127" s="53" t="s">
        <v>393</v>
      </c>
      <c r="AH127" s="53">
        <v>125</v>
      </c>
    </row>
    <row r="128" spans="8:34" ht="75" x14ac:dyDescent="0.25">
      <c r="H128" s="22">
        <v>1102</v>
      </c>
      <c r="I128" s="23" t="s">
        <v>167</v>
      </c>
      <c r="J128" s="28" t="str">
        <f t="shared" si="30"/>
        <v>10001001110</v>
      </c>
      <c r="K128" s="26">
        <f t="shared" si="25"/>
        <v>10001001110</v>
      </c>
      <c r="L128" s="22" t="str">
        <f t="shared" si="26"/>
        <v>0000010001001110</v>
      </c>
      <c r="M128" s="22" t="str">
        <f t="shared" si="27"/>
        <v>10001001110</v>
      </c>
      <c r="N128" s="27" t="str">
        <f t="shared" si="28"/>
        <v>100</v>
      </c>
      <c r="O128" s="27" t="str">
        <f t="shared" si="29"/>
        <v>01001110</v>
      </c>
      <c r="Q128">
        <v>227</v>
      </c>
      <c r="R128" s="17" t="str">
        <f t="shared" si="31"/>
        <v>Active warnings described bit per bit.</v>
      </c>
      <c r="S128" s="17">
        <v>0</v>
      </c>
      <c r="T128"/>
      <c r="AG128" s="53" t="s">
        <v>394</v>
      </c>
      <c r="AH128" s="53">
        <v>126</v>
      </c>
    </row>
    <row r="129" spans="17:34" x14ac:dyDescent="0.25">
      <c r="Q129">
        <v>227</v>
      </c>
      <c r="S129" s="17">
        <v>0</v>
      </c>
      <c r="T129"/>
      <c r="AG129" s="53" t="s">
        <v>395</v>
      </c>
      <c r="AH129" s="53">
        <v>127</v>
      </c>
    </row>
    <row r="130" spans="17:34" x14ac:dyDescent="0.25">
      <c r="Q130">
        <v>227</v>
      </c>
      <c r="S130" s="17">
        <v>0</v>
      </c>
      <c r="T130"/>
    </row>
    <row r="131" spans="17:34" x14ac:dyDescent="0.25">
      <c r="Q131">
        <v>227</v>
      </c>
      <c r="S131" s="17">
        <v>0</v>
      </c>
      <c r="T131"/>
    </row>
    <row r="132" spans="17:34" x14ac:dyDescent="0.25">
      <c r="Q132">
        <v>227</v>
      </c>
      <c r="S132" s="17">
        <v>0</v>
      </c>
      <c r="T132"/>
    </row>
    <row r="133" spans="17:34" x14ac:dyDescent="0.25">
      <c r="Q133">
        <v>227</v>
      </c>
      <c r="S133" s="17">
        <v>0</v>
      </c>
      <c r="T133"/>
    </row>
    <row r="134" spans="17:34" x14ac:dyDescent="0.25">
      <c r="Q134">
        <v>227</v>
      </c>
      <c r="S134" s="17">
        <v>0</v>
      </c>
      <c r="T134"/>
    </row>
    <row r="135" spans="17:34" x14ac:dyDescent="0.25">
      <c r="Q135">
        <v>227</v>
      </c>
      <c r="S135" s="17">
        <v>0</v>
      </c>
      <c r="T135"/>
    </row>
    <row r="136" spans="17:34" x14ac:dyDescent="0.25">
      <c r="Q136">
        <v>227</v>
      </c>
      <c r="S136" s="17">
        <v>0</v>
      </c>
      <c r="T136"/>
    </row>
    <row r="137" spans="17:34" x14ac:dyDescent="0.25">
      <c r="Q137">
        <v>227</v>
      </c>
      <c r="S137" s="17">
        <v>0</v>
      </c>
      <c r="T137"/>
    </row>
    <row r="138" spans="17:34" x14ac:dyDescent="0.25">
      <c r="Q138">
        <v>227</v>
      </c>
      <c r="S138" s="17">
        <v>0</v>
      </c>
      <c r="T138"/>
    </row>
    <row r="139" spans="17:34" x14ac:dyDescent="0.25">
      <c r="Q139">
        <v>227</v>
      </c>
      <c r="S139" s="17">
        <v>0</v>
      </c>
      <c r="T139"/>
    </row>
    <row r="140" spans="17:34" x14ac:dyDescent="0.25">
      <c r="Q140">
        <v>227</v>
      </c>
      <c r="S140" s="17">
        <v>0</v>
      </c>
      <c r="T140"/>
    </row>
    <row r="141" spans="17:34" x14ac:dyDescent="0.25">
      <c r="Q141">
        <v>227</v>
      </c>
      <c r="S141" s="17">
        <v>0</v>
      </c>
      <c r="T141"/>
    </row>
    <row r="142" spans="17:34" x14ac:dyDescent="0.25">
      <c r="Q142">
        <v>227</v>
      </c>
      <c r="S142" s="17">
        <v>0</v>
      </c>
      <c r="T142"/>
    </row>
    <row r="143" spans="17:34" x14ac:dyDescent="0.25">
      <c r="Q143">
        <v>227</v>
      </c>
      <c r="S143" s="17">
        <v>0</v>
      </c>
      <c r="T143"/>
    </row>
    <row r="144" spans="17:34" x14ac:dyDescent="0.25">
      <c r="Q144">
        <v>227</v>
      </c>
      <c r="S144" s="17">
        <v>0</v>
      </c>
      <c r="T144"/>
    </row>
    <row r="145" spans="17:20" x14ac:dyDescent="0.25">
      <c r="Q145">
        <v>227</v>
      </c>
      <c r="S145" s="17">
        <v>0</v>
      </c>
      <c r="T145"/>
    </row>
    <row r="146" spans="17:20" x14ac:dyDescent="0.25">
      <c r="Q146">
        <v>227</v>
      </c>
      <c r="S146" s="17">
        <v>0</v>
      </c>
      <c r="T146"/>
    </row>
    <row r="147" spans="17:20" x14ac:dyDescent="0.25">
      <c r="Q147">
        <v>227</v>
      </c>
      <c r="S147" s="17">
        <v>0</v>
      </c>
      <c r="T147"/>
    </row>
    <row r="148" spans="17:20" x14ac:dyDescent="0.25">
      <c r="Q148">
        <v>227</v>
      </c>
      <c r="S148" s="17">
        <v>0</v>
      </c>
      <c r="T148"/>
    </row>
    <row r="149" spans="17:20" x14ac:dyDescent="0.25">
      <c r="Q149">
        <v>227</v>
      </c>
      <c r="S149" s="17">
        <v>0</v>
      </c>
      <c r="T149"/>
    </row>
    <row r="150" spans="17:20" x14ac:dyDescent="0.25">
      <c r="Q150">
        <v>227</v>
      </c>
      <c r="S150" s="17">
        <v>0</v>
      </c>
      <c r="T150"/>
    </row>
    <row r="151" spans="17:20" x14ac:dyDescent="0.25">
      <c r="Q151">
        <v>227</v>
      </c>
      <c r="S151" s="17">
        <v>0</v>
      </c>
      <c r="T151"/>
    </row>
    <row r="152" spans="17:20" x14ac:dyDescent="0.25">
      <c r="Q152">
        <v>227</v>
      </c>
      <c r="S152" s="17"/>
      <c r="T152"/>
    </row>
    <row r="153" spans="17:20" x14ac:dyDescent="0.25">
      <c r="Q153">
        <v>227</v>
      </c>
      <c r="S153" s="17"/>
      <c r="T153"/>
    </row>
    <row r="154" spans="17:20" x14ac:dyDescent="0.25">
      <c r="Q154">
        <v>227</v>
      </c>
      <c r="S154" s="17"/>
      <c r="T154"/>
    </row>
    <row r="155" spans="17:20" x14ac:dyDescent="0.25">
      <c r="Q155">
        <v>227</v>
      </c>
      <c r="S155" s="17"/>
      <c r="T155"/>
    </row>
    <row r="156" spans="17:20" x14ac:dyDescent="0.25">
      <c r="Q156">
        <v>227</v>
      </c>
      <c r="S156" s="17"/>
      <c r="T156"/>
    </row>
    <row r="157" spans="17:20" x14ac:dyDescent="0.25">
      <c r="Q157">
        <v>227</v>
      </c>
      <c r="S157" s="17"/>
      <c r="T157"/>
    </row>
    <row r="158" spans="17:20" x14ac:dyDescent="0.25">
      <c r="Q158">
        <v>227</v>
      </c>
      <c r="S158" s="17"/>
      <c r="T158"/>
    </row>
    <row r="159" spans="17:20" x14ac:dyDescent="0.25">
      <c r="Q159">
        <v>227</v>
      </c>
      <c r="S159" s="17"/>
      <c r="T159"/>
    </row>
    <row r="160" spans="17:20" x14ac:dyDescent="0.25">
      <c r="Q160">
        <v>227</v>
      </c>
      <c r="S160" s="17"/>
      <c r="T160"/>
    </row>
    <row r="161" spans="17:20" x14ac:dyDescent="0.25">
      <c r="Q161">
        <v>227</v>
      </c>
      <c r="S161" s="17"/>
      <c r="T161"/>
    </row>
    <row r="162" spans="17:20" x14ac:dyDescent="0.25">
      <c r="Q162">
        <v>227</v>
      </c>
      <c r="S162" s="17"/>
      <c r="T162"/>
    </row>
    <row r="163" spans="17:20" x14ac:dyDescent="0.25">
      <c r="Q163">
        <v>227</v>
      </c>
      <c r="S163" s="17"/>
      <c r="T163"/>
    </row>
    <row r="164" spans="17:20" x14ac:dyDescent="0.25">
      <c r="Q164">
        <v>227</v>
      </c>
      <c r="S164" s="17"/>
      <c r="T164"/>
    </row>
    <row r="165" spans="17:20" x14ac:dyDescent="0.25">
      <c r="Q165">
        <v>227</v>
      </c>
      <c r="S165" s="17"/>
      <c r="T165"/>
    </row>
    <row r="166" spans="17:20" x14ac:dyDescent="0.25">
      <c r="Q166">
        <v>227</v>
      </c>
      <c r="S166" s="17"/>
      <c r="T166"/>
    </row>
    <row r="167" spans="17:20" x14ac:dyDescent="0.25">
      <c r="Q167">
        <v>227</v>
      </c>
      <c r="S167" s="17"/>
      <c r="T167"/>
    </row>
    <row r="168" spans="17:20" x14ac:dyDescent="0.25">
      <c r="Q168">
        <v>227</v>
      </c>
      <c r="S168" s="17"/>
      <c r="T168"/>
    </row>
    <row r="169" spans="17:20" x14ac:dyDescent="0.25">
      <c r="Q169">
        <v>227</v>
      </c>
      <c r="S169" s="17"/>
      <c r="T169"/>
    </row>
    <row r="170" spans="17:20" x14ac:dyDescent="0.25">
      <c r="Q170">
        <v>227</v>
      </c>
      <c r="S170" s="17"/>
      <c r="T170"/>
    </row>
    <row r="171" spans="17:20" x14ac:dyDescent="0.25">
      <c r="Q171">
        <v>227</v>
      </c>
      <c r="S171" s="17"/>
      <c r="T171"/>
    </row>
    <row r="172" spans="17:20" x14ac:dyDescent="0.25">
      <c r="Q172">
        <v>227</v>
      </c>
      <c r="S172" s="17"/>
      <c r="T172"/>
    </row>
    <row r="173" spans="17:20" x14ac:dyDescent="0.25">
      <c r="Q173">
        <v>227</v>
      </c>
      <c r="S173" s="17"/>
      <c r="T173"/>
    </row>
    <row r="174" spans="17:20" x14ac:dyDescent="0.25">
      <c r="Q174">
        <v>227</v>
      </c>
      <c r="S174" s="17"/>
      <c r="T174"/>
    </row>
    <row r="175" spans="17:20" x14ac:dyDescent="0.25">
      <c r="Q175">
        <v>227</v>
      </c>
      <c r="S175" s="17"/>
      <c r="T175"/>
    </row>
    <row r="176" spans="17:20" x14ac:dyDescent="0.25">
      <c r="Q176">
        <v>227</v>
      </c>
      <c r="S176" s="17"/>
      <c r="T176"/>
    </row>
    <row r="177" spans="17:20" x14ac:dyDescent="0.25">
      <c r="Q177">
        <v>227</v>
      </c>
      <c r="S177" s="17"/>
      <c r="T177"/>
    </row>
    <row r="178" spans="17:20" x14ac:dyDescent="0.25">
      <c r="Q178">
        <v>227</v>
      </c>
      <c r="S178" s="17"/>
      <c r="T178"/>
    </row>
    <row r="179" spans="17:20" x14ac:dyDescent="0.25">
      <c r="Q179">
        <v>227</v>
      </c>
      <c r="S179" s="17"/>
      <c r="T179"/>
    </row>
    <row r="180" spans="17:20" x14ac:dyDescent="0.25">
      <c r="Q180">
        <v>227</v>
      </c>
      <c r="S180" s="17"/>
      <c r="T180"/>
    </row>
    <row r="181" spans="17:20" x14ac:dyDescent="0.25">
      <c r="Q181">
        <v>227</v>
      </c>
      <c r="S181" s="17"/>
      <c r="T181"/>
    </row>
    <row r="182" spans="17:20" x14ac:dyDescent="0.25">
      <c r="Q182">
        <v>227</v>
      </c>
      <c r="S182" s="17"/>
      <c r="T182"/>
    </row>
    <row r="183" spans="17:20" x14ac:dyDescent="0.25">
      <c r="Q183">
        <v>227</v>
      </c>
      <c r="S183" s="17"/>
      <c r="T183"/>
    </row>
    <row r="184" spans="17:20" x14ac:dyDescent="0.25">
      <c r="Q184">
        <v>227</v>
      </c>
      <c r="S184" s="17"/>
      <c r="T184"/>
    </row>
    <row r="185" spans="17:20" x14ac:dyDescent="0.25">
      <c r="Q185">
        <v>227</v>
      </c>
      <c r="S185" s="17"/>
      <c r="T185"/>
    </row>
    <row r="186" spans="17:20" x14ac:dyDescent="0.25">
      <c r="Q186">
        <v>227</v>
      </c>
      <c r="S186" s="17"/>
      <c r="T186"/>
    </row>
    <row r="187" spans="17:20" x14ac:dyDescent="0.25">
      <c r="Q187">
        <v>227</v>
      </c>
      <c r="S187" s="17"/>
      <c r="T187"/>
    </row>
    <row r="188" spans="17:20" x14ac:dyDescent="0.25">
      <c r="Q188">
        <v>227</v>
      </c>
      <c r="S188" s="17"/>
      <c r="T188"/>
    </row>
    <row r="189" spans="17:20" x14ac:dyDescent="0.25">
      <c r="Q189">
        <v>227</v>
      </c>
      <c r="S189" s="17"/>
      <c r="T189"/>
    </row>
    <row r="190" spans="17:20" x14ac:dyDescent="0.25">
      <c r="Q190">
        <v>227</v>
      </c>
      <c r="S190" s="17"/>
      <c r="T190"/>
    </row>
    <row r="191" spans="17:20" x14ac:dyDescent="0.25">
      <c r="Q191">
        <v>227</v>
      </c>
      <c r="S191" s="17"/>
      <c r="T191"/>
    </row>
    <row r="192" spans="17:20" x14ac:dyDescent="0.25">
      <c r="Q192">
        <v>227</v>
      </c>
      <c r="S192" s="17"/>
      <c r="T192"/>
    </row>
    <row r="193" spans="17:20" x14ac:dyDescent="0.25">
      <c r="Q193">
        <v>227</v>
      </c>
      <c r="S193" s="17"/>
      <c r="T193"/>
    </row>
    <row r="194" spans="17:20" x14ac:dyDescent="0.25">
      <c r="Q194">
        <v>227</v>
      </c>
      <c r="S194" s="17"/>
      <c r="T194"/>
    </row>
    <row r="195" spans="17:20" x14ac:dyDescent="0.25">
      <c r="Q195">
        <v>227</v>
      </c>
      <c r="S195" s="17"/>
      <c r="T195"/>
    </row>
    <row r="196" spans="17:20" x14ac:dyDescent="0.25">
      <c r="Q196">
        <v>227</v>
      </c>
      <c r="S196" s="17"/>
      <c r="T196"/>
    </row>
    <row r="197" spans="17:20" x14ac:dyDescent="0.25">
      <c r="Q197">
        <v>227</v>
      </c>
      <c r="S197" s="17"/>
      <c r="T197"/>
    </row>
    <row r="198" spans="17:20" x14ac:dyDescent="0.25">
      <c r="Q198">
        <v>227</v>
      </c>
      <c r="S198" s="17"/>
      <c r="T198"/>
    </row>
    <row r="199" spans="17:20" x14ac:dyDescent="0.25">
      <c r="Q199">
        <v>227</v>
      </c>
      <c r="S199" s="17"/>
      <c r="T199"/>
    </row>
    <row r="200" spans="17:20" x14ac:dyDescent="0.25">
      <c r="Q200">
        <v>227</v>
      </c>
      <c r="S200" s="17"/>
      <c r="T200"/>
    </row>
    <row r="201" spans="17:20" x14ac:dyDescent="0.25">
      <c r="Q201">
        <v>227</v>
      </c>
      <c r="S201" s="17"/>
      <c r="T201"/>
    </row>
    <row r="202" spans="17:20" x14ac:dyDescent="0.25">
      <c r="Q202">
        <v>227</v>
      </c>
      <c r="S202" s="17"/>
      <c r="T202"/>
    </row>
    <row r="203" spans="17:20" x14ac:dyDescent="0.25">
      <c r="Q203">
        <v>227</v>
      </c>
      <c r="S203" s="17"/>
      <c r="T203"/>
    </row>
    <row r="204" spans="17:20" x14ac:dyDescent="0.25">
      <c r="Q204">
        <v>227</v>
      </c>
      <c r="S204" s="17"/>
      <c r="T204"/>
    </row>
    <row r="205" spans="17:20" x14ac:dyDescent="0.25">
      <c r="Q205">
        <v>227</v>
      </c>
      <c r="S205" s="17"/>
      <c r="T205"/>
    </row>
    <row r="206" spans="17:20" x14ac:dyDescent="0.25">
      <c r="Q206">
        <v>227</v>
      </c>
      <c r="S206" s="17"/>
      <c r="T206"/>
    </row>
    <row r="207" spans="17:20" x14ac:dyDescent="0.25">
      <c r="Q207">
        <v>227</v>
      </c>
      <c r="S207" s="17"/>
      <c r="T207"/>
    </row>
    <row r="208" spans="17:20" x14ac:dyDescent="0.25">
      <c r="Q208">
        <v>227</v>
      </c>
      <c r="S208" s="17"/>
      <c r="T208"/>
    </row>
    <row r="209" spans="19:20" x14ac:dyDescent="0.25">
      <c r="S209" s="17"/>
      <c r="T209"/>
    </row>
    <row r="210" spans="19:20" x14ac:dyDescent="0.25">
      <c r="S210" s="17"/>
      <c r="T210"/>
    </row>
    <row r="211" spans="19:20" x14ac:dyDescent="0.25">
      <c r="S211" s="17"/>
      <c r="T211"/>
    </row>
    <row r="212" spans="19:20" x14ac:dyDescent="0.25">
      <c r="S212" s="17"/>
      <c r="T212"/>
    </row>
    <row r="213" spans="19:20" x14ac:dyDescent="0.25">
      <c r="S213" s="17"/>
      <c r="T213"/>
    </row>
    <row r="214" spans="19:20" x14ac:dyDescent="0.25">
      <c r="S214" s="17"/>
      <c r="T214"/>
    </row>
    <row r="215" spans="19:20" x14ac:dyDescent="0.25">
      <c r="S215" s="17"/>
      <c r="T215"/>
    </row>
    <row r="216" spans="19:20" x14ac:dyDescent="0.25">
      <c r="S216" s="17"/>
      <c r="T216"/>
    </row>
    <row r="217" spans="19:20" x14ac:dyDescent="0.25">
      <c r="S217" s="17"/>
      <c r="T217"/>
    </row>
    <row r="218" spans="19:20" x14ac:dyDescent="0.25">
      <c r="S218" s="17"/>
      <c r="T218"/>
    </row>
    <row r="219" spans="19:20" x14ac:dyDescent="0.25">
      <c r="S219" s="17"/>
      <c r="T219"/>
    </row>
    <row r="220" spans="19:20" x14ac:dyDescent="0.25">
      <c r="S220" s="17"/>
      <c r="T220"/>
    </row>
    <row r="221" spans="19:20" x14ac:dyDescent="0.25">
      <c r="S221" s="17"/>
      <c r="T221"/>
    </row>
    <row r="222" spans="19:20" x14ac:dyDescent="0.25">
      <c r="S222" s="17"/>
      <c r="T222"/>
    </row>
    <row r="223" spans="19:20" x14ac:dyDescent="0.25">
      <c r="S223" s="17"/>
      <c r="T223"/>
    </row>
    <row r="224" spans="19:20" x14ac:dyDescent="0.25">
      <c r="S224" s="17"/>
      <c r="T224"/>
    </row>
    <row r="225" spans="19:20" x14ac:dyDescent="0.25">
      <c r="S225" s="17"/>
      <c r="T225"/>
    </row>
    <row r="226" spans="19:20" x14ac:dyDescent="0.25">
      <c r="S226" s="17"/>
      <c r="T226"/>
    </row>
    <row r="227" spans="19:20" x14ac:dyDescent="0.25">
      <c r="S227" s="17"/>
      <c r="T227"/>
    </row>
    <row r="228" spans="19:20" x14ac:dyDescent="0.25">
      <c r="S228" s="17"/>
      <c r="T228"/>
    </row>
    <row r="229" spans="19:20" x14ac:dyDescent="0.25">
      <c r="S229" s="17"/>
      <c r="T229"/>
    </row>
    <row r="230" spans="19:20" x14ac:dyDescent="0.25">
      <c r="S230" s="17"/>
      <c r="T230"/>
    </row>
    <row r="231" spans="19:20" x14ac:dyDescent="0.25">
      <c r="S231" s="17"/>
      <c r="T231"/>
    </row>
    <row r="232" spans="19:20" x14ac:dyDescent="0.25">
      <c r="S232" s="17"/>
      <c r="T232"/>
    </row>
    <row r="233" spans="19:20" x14ac:dyDescent="0.25">
      <c r="S233" s="17"/>
      <c r="T233"/>
    </row>
    <row r="234" spans="19:20" x14ac:dyDescent="0.25">
      <c r="S234" s="17"/>
      <c r="T234"/>
    </row>
    <row r="235" spans="19:20" x14ac:dyDescent="0.25">
      <c r="S235" s="17"/>
      <c r="T235"/>
    </row>
    <row r="236" spans="19:20" x14ac:dyDescent="0.25">
      <c r="S236" s="17"/>
      <c r="T236"/>
    </row>
    <row r="237" spans="19:20" x14ac:dyDescent="0.25">
      <c r="S237" s="17"/>
      <c r="T237"/>
    </row>
    <row r="238" spans="19:20" x14ac:dyDescent="0.25">
      <c r="S238" s="17"/>
      <c r="T238"/>
    </row>
    <row r="239" spans="19:20" x14ac:dyDescent="0.25">
      <c r="S239" s="17"/>
      <c r="T239"/>
    </row>
    <row r="240" spans="19:20" x14ac:dyDescent="0.25">
      <c r="S240" s="17"/>
      <c r="T240"/>
    </row>
    <row r="241" spans="19:20" x14ac:dyDescent="0.25">
      <c r="S241" s="17"/>
      <c r="T241"/>
    </row>
    <row r="242" spans="19:20" x14ac:dyDescent="0.25">
      <c r="S242" s="17"/>
      <c r="T242"/>
    </row>
    <row r="243" spans="19:20" x14ac:dyDescent="0.25">
      <c r="S243" s="17"/>
      <c r="T243"/>
    </row>
    <row r="244" spans="19:20" x14ac:dyDescent="0.25">
      <c r="S244" s="17"/>
      <c r="T244"/>
    </row>
    <row r="245" spans="19:20" x14ac:dyDescent="0.25">
      <c r="S245" s="17"/>
      <c r="T245"/>
    </row>
    <row r="246" spans="19:20" x14ac:dyDescent="0.25">
      <c r="S246" s="17"/>
      <c r="T246"/>
    </row>
    <row r="247" spans="19:20" x14ac:dyDescent="0.25">
      <c r="S247" s="17"/>
      <c r="T247"/>
    </row>
  </sheetData>
  <mergeCells count="2">
    <mergeCell ref="J3:O3"/>
    <mergeCell ref="J2:O2"/>
  </mergeCells>
  <dataValidations count="5">
    <dataValidation type="list" allowBlank="1" showInputMessage="1" showErrorMessage="1" sqref="L11">
      <formula1>$I$10:$I$17</formula1>
    </dataValidation>
    <dataValidation type="list" allowBlank="1" showInputMessage="1" showErrorMessage="1" sqref="L13">
      <formula1>$T$2:$T$16</formula1>
    </dataValidation>
    <dataValidation type="whole" allowBlank="1" showInputMessage="1" showErrorMessage="1" sqref="L14">
      <formula1>0</formula1>
      <formula2>65535</formula2>
    </dataValidation>
    <dataValidation type="list" allowBlank="1" showInputMessage="1" showErrorMessage="1" sqref="L15">
      <formula1>$AG$2:$AG$129</formula1>
    </dataValidation>
    <dataValidation type="list" allowBlank="1" showInputMessage="1" showErrorMessage="1" sqref="L12">
      <formula1>$I$21:$I$128</formula1>
    </dataValidation>
  </dataValidations>
  <hyperlinks>
    <hyperlink ref="U121" location="'Telegram Send'!N1" display="See P227 Warning Bits"/>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Z30"/>
  <sheetViews>
    <sheetView tabSelected="1" topLeftCell="C1" workbookViewId="0">
      <selection activeCell="J5" sqref="J5"/>
    </sheetView>
  </sheetViews>
  <sheetFormatPr defaultRowHeight="15" x14ac:dyDescent="0.25"/>
  <cols>
    <col min="1" max="1" width="11.140625" customWidth="1"/>
    <col min="2" max="2" width="38" style="91" customWidth="1"/>
    <col min="3" max="5" width="9.140625" customWidth="1"/>
    <col min="6" max="6" width="10.42578125" customWidth="1"/>
    <col min="7" max="7" width="9.85546875" customWidth="1"/>
    <col min="8" max="9" width="9.140625" customWidth="1"/>
    <col min="10" max="10" width="17.28515625" customWidth="1"/>
    <col min="11" max="13" width="9.140625" customWidth="1"/>
    <col min="14" max="14" width="15.42578125" customWidth="1"/>
    <col min="15" max="15" width="5.42578125" customWidth="1"/>
    <col min="16" max="16" width="3.7109375" customWidth="1"/>
    <col min="18" max="18" width="32.28515625" customWidth="1"/>
    <col min="21" max="21" width="11.85546875" customWidth="1"/>
    <col min="26" max="26" width="5" customWidth="1"/>
  </cols>
  <sheetData>
    <row r="2" spans="1:26" x14ac:dyDescent="0.25">
      <c r="C2" t="s">
        <v>52</v>
      </c>
      <c r="E2" t="s">
        <v>421</v>
      </c>
      <c r="F2" t="s">
        <v>32</v>
      </c>
      <c r="G2" t="s">
        <v>32</v>
      </c>
    </row>
    <row r="3" spans="1:26" ht="22.5" customHeight="1" x14ac:dyDescent="0.25">
      <c r="A3" s="90" t="s">
        <v>0</v>
      </c>
      <c r="B3" s="92" t="s">
        <v>419</v>
      </c>
      <c r="C3" s="90" t="str">
        <f>LEFT(R11,2)</f>
        <v>02</v>
      </c>
      <c r="D3" s="90" t="str">
        <f>RIGHT($R$11,46)</f>
        <v>1600100300000000006A8B14006A0020005D00280018D5</v>
      </c>
      <c r="E3" s="90">
        <f>HEX2DEC(C3)</f>
        <v>2</v>
      </c>
      <c r="F3" s="93" t="str">
        <f>HEX2BIN(C3)</f>
        <v>10</v>
      </c>
      <c r="G3" t="str">
        <f>TEXT(F3,"00000000")</f>
        <v>00000010</v>
      </c>
    </row>
    <row r="4" spans="1:26" ht="22.5" customHeight="1" x14ac:dyDescent="0.25">
      <c r="A4" s="90" t="s">
        <v>1</v>
      </c>
      <c r="B4" s="92" t="s">
        <v>420</v>
      </c>
      <c r="C4" s="90" t="str">
        <f>LEFT(D3,2)</f>
        <v>16</v>
      </c>
      <c r="D4" s="90" t="str">
        <f>RIGHT($R$11,44)</f>
        <v>00100300000000006A8B14006A0020005D00280018D5</v>
      </c>
      <c r="E4" s="90">
        <f t="shared" ref="E4:E27" si="0">HEX2DEC(C4)</f>
        <v>22</v>
      </c>
      <c r="F4" s="93" t="str">
        <f t="shared" ref="F4:F27" si="1">HEX2BIN(C4)</f>
        <v>10110</v>
      </c>
      <c r="G4" t="str">
        <f t="shared" ref="G4:G27" si="2">TEXT(F4,"00000000")</f>
        <v>00010110</v>
      </c>
    </row>
    <row r="5" spans="1:26" ht="22.5" customHeight="1" x14ac:dyDescent="0.25">
      <c r="A5" s="90" t="s">
        <v>2</v>
      </c>
      <c r="B5" s="92" t="s">
        <v>422</v>
      </c>
      <c r="C5" s="90" t="str">
        <f t="shared" ref="C5:C27" si="3">LEFT(D4,2)</f>
        <v>00</v>
      </c>
      <c r="D5" s="90" t="str">
        <f>RIGHT($R$11,42)</f>
        <v>100300000000006A8B14006A0020005D00280018D5</v>
      </c>
      <c r="E5" s="90">
        <f t="shared" si="0"/>
        <v>0</v>
      </c>
      <c r="F5" s="93" t="str">
        <f t="shared" si="1"/>
        <v>0</v>
      </c>
      <c r="G5" t="str">
        <f t="shared" si="2"/>
        <v>00000000</v>
      </c>
    </row>
    <row r="6" spans="1:26" ht="22.5" customHeight="1" x14ac:dyDescent="0.25">
      <c r="A6" s="116" t="s">
        <v>3</v>
      </c>
      <c r="B6" s="117" t="s">
        <v>423</v>
      </c>
      <c r="C6" s="116" t="str">
        <f t="shared" si="3"/>
        <v>10</v>
      </c>
      <c r="D6" s="116" t="str">
        <f>RIGHT($R$11,40)</f>
        <v>0300000000006A8B14006A0020005D00280018D5</v>
      </c>
      <c r="E6" s="116">
        <f t="shared" si="0"/>
        <v>16</v>
      </c>
      <c r="F6" s="118" t="str">
        <f t="shared" si="1"/>
        <v>10000</v>
      </c>
      <c r="G6" s="119" t="str">
        <f t="shared" si="2"/>
        <v>00010000</v>
      </c>
      <c r="H6" t="s">
        <v>467</v>
      </c>
      <c r="J6">
        <f>HEX2DEC(J10)</f>
        <v>3</v>
      </c>
    </row>
    <row r="7" spans="1:26" ht="22.5" customHeight="1" x14ac:dyDescent="0.25">
      <c r="A7" s="116" t="s">
        <v>4</v>
      </c>
      <c r="B7" s="117" t="s">
        <v>424</v>
      </c>
      <c r="C7" s="116" t="str">
        <f t="shared" si="3"/>
        <v>03</v>
      </c>
      <c r="D7" s="116" t="str">
        <f>RIGHT($R$11,38)</f>
        <v>00000000006A8B14006A0020005D00280018D5</v>
      </c>
      <c r="E7" s="116">
        <f t="shared" si="0"/>
        <v>3</v>
      </c>
      <c r="F7" s="118" t="str">
        <f t="shared" si="1"/>
        <v>11</v>
      </c>
      <c r="G7" s="119" t="str">
        <f t="shared" si="2"/>
        <v>00000011</v>
      </c>
      <c r="H7" t="s">
        <v>470</v>
      </c>
      <c r="J7" t="str">
        <f>+CONCATENATE(G6,G7)</f>
        <v>0001000000000011</v>
      </c>
    </row>
    <row r="8" spans="1:26" ht="22.5" customHeight="1" x14ac:dyDescent="0.25">
      <c r="A8" s="112" t="s">
        <v>5</v>
      </c>
      <c r="B8" s="113" t="s">
        <v>425</v>
      </c>
      <c r="C8" s="112" t="str">
        <f t="shared" si="3"/>
        <v>00</v>
      </c>
      <c r="D8" s="112" t="str">
        <f>RIGHT($R$11,36)</f>
        <v>000000006A8B14006A0020005D00280018D5</v>
      </c>
      <c r="E8" s="112">
        <f t="shared" si="0"/>
        <v>0</v>
      </c>
      <c r="F8" s="114" t="str">
        <f t="shared" si="1"/>
        <v>0</v>
      </c>
      <c r="G8" s="115" t="str">
        <f t="shared" si="2"/>
        <v>00000000</v>
      </c>
      <c r="H8" t="s">
        <v>471</v>
      </c>
      <c r="J8" t="str">
        <f>+RIGHT(J7,11)</f>
        <v>00000000011</v>
      </c>
      <c r="K8" t="s">
        <v>472</v>
      </c>
    </row>
    <row r="9" spans="1:26" ht="22.5" customHeight="1" thickBot="1" x14ac:dyDescent="0.3">
      <c r="A9" s="108" t="s">
        <v>6</v>
      </c>
      <c r="B9" s="109" t="s">
        <v>168</v>
      </c>
      <c r="C9" s="108" t="str">
        <f t="shared" si="3"/>
        <v>00</v>
      </c>
      <c r="D9" s="108" t="str">
        <f>RIGHT($R$11,34)</f>
        <v>0000006A8B14006A0020005D00280018D5</v>
      </c>
      <c r="E9" s="108">
        <f t="shared" si="0"/>
        <v>0</v>
      </c>
      <c r="F9" s="110" t="str">
        <f t="shared" si="1"/>
        <v>0</v>
      </c>
      <c r="G9" s="111" t="str">
        <f t="shared" si="2"/>
        <v>00000000</v>
      </c>
      <c r="H9" t="s">
        <v>473</v>
      </c>
      <c r="J9">
        <f>_xlfn.NUMBERVALUE(J8)</f>
        <v>11</v>
      </c>
    </row>
    <row r="10" spans="1:26" ht="22.5" customHeight="1" thickTop="1" x14ac:dyDescent="0.25">
      <c r="A10" s="108"/>
      <c r="B10" s="109"/>
      <c r="C10" s="108"/>
      <c r="D10" s="108"/>
      <c r="E10" s="108"/>
      <c r="F10" s="110"/>
      <c r="G10" s="111"/>
      <c r="H10" t="s">
        <v>466</v>
      </c>
      <c r="J10" t="str">
        <f>+BIN2HEX(J9)</f>
        <v>3</v>
      </c>
      <c r="O10" s="130"/>
      <c r="P10" s="131"/>
      <c r="Q10" s="131"/>
      <c r="R10" s="131"/>
      <c r="S10" s="131"/>
      <c r="T10" s="131"/>
      <c r="U10" s="131"/>
      <c r="V10" s="131"/>
      <c r="W10" s="131"/>
      <c r="X10" s="131"/>
      <c r="Y10" s="131"/>
      <c r="Z10" s="132"/>
    </row>
    <row r="11" spans="1:26" ht="22.5" customHeight="1" x14ac:dyDescent="0.4">
      <c r="A11" s="104" t="s">
        <v>7</v>
      </c>
      <c r="B11" s="105" t="s">
        <v>426</v>
      </c>
      <c r="C11" s="104" t="str">
        <f>LEFT(D9,2)</f>
        <v>00</v>
      </c>
      <c r="D11" s="104" t="str">
        <f>RIGHT($R$11,32)</f>
        <v>00006A8B14006A0020005D00280018D5</v>
      </c>
      <c r="E11" s="104">
        <f t="shared" si="0"/>
        <v>0</v>
      </c>
      <c r="F11" s="106" t="str">
        <f t="shared" si="1"/>
        <v>0</v>
      </c>
      <c r="G11" s="107" t="str">
        <f t="shared" si="2"/>
        <v>00000000</v>
      </c>
      <c r="H11" t="s">
        <v>464</v>
      </c>
      <c r="J11" t="str">
        <f>CONCATENATE(C11,C12,C13,C14)</f>
        <v>0000006A</v>
      </c>
      <c r="O11" s="133"/>
      <c r="P11" s="144" t="s">
        <v>418</v>
      </c>
      <c r="Q11" s="144"/>
      <c r="R11" s="142" t="s">
        <v>469</v>
      </c>
      <c r="S11" s="143"/>
      <c r="T11" s="143"/>
      <c r="U11" s="143"/>
      <c r="V11" s="143"/>
      <c r="W11" s="143"/>
      <c r="X11" s="143"/>
      <c r="Y11" s="143"/>
      <c r="Z11" s="137"/>
    </row>
    <row r="12" spans="1:26" ht="22.5" customHeight="1" x14ac:dyDescent="0.25">
      <c r="A12" s="104" t="s">
        <v>8</v>
      </c>
      <c r="B12" s="105" t="s">
        <v>427</v>
      </c>
      <c r="C12" s="104" t="str">
        <f t="shared" si="3"/>
        <v>00</v>
      </c>
      <c r="D12" s="104" t="str">
        <f>RIGHT($R$11,30)</f>
        <v>006A8B14006A0020005D00280018D5</v>
      </c>
      <c r="E12" s="104">
        <f t="shared" si="0"/>
        <v>0</v>
      </c>
      <c r="F12" s="106" t="str">
        <f t="shared" si="1"/>
        <v>0</v>
      </c>
      <c r="G12" s="107" t="str">
        <f t="shared" si="2"/>
        <v>00000000</v>
      </c>
      <c r="H12" t="s">
        <v>465</v>
      </c>
      <c r="J12">
        <f>+HEX2DEC(J11)</f>
        <v>106</v>
      </c>
      <c r="O12" s="133"/>
      <c r="P12" s="141" t="s">
        <v>462</v>
      </c>
      <c r="Q12" s="141"/>
      <c r="R12" s="141"/>
      <c r="S12" s="120"/>
      <c r="T12" s="121"/>
      <c r="U12" s="121"/>
      <c r="V12" s="121"/>
      <c r="W12" s="121"/>
      <c r="X12" s="121"/>
      <c r="Y12" s="122"/>
      <c r="Z12" s="137"/>
    </row>
    <row r="13" spans="1:26" ht="22.5" customHeight="1" x14ac:dyDescent="0.25">
      <c r="A13" s="104" t="s">
        <v>9</v>
      </c>
      <c r="B13" s="105" t="s">
        <v>428</v>
      </c>
      <c r="C13" s="104" t="str">
        <f t="shared" si="3"/>
        <v>00</v>
      </c>
      <c r="D13" s="104" t="str">
        <f>RIGHT($R$11,28)</f>
        <v>6A8B14006A0020005D00280018D5</v>
      </c>
      <c r="E13" s="104">
        <f t="shared" si="0"/>
        <v>0</v>
      </c>
      <c r="F13" s="106" t="str">
        <f t="shared" si="1"/>
        <v>0</v>
      </c>
      <c r="G13" s="107" t="str">
        <f t="shared" si="2"/>
        <v>00000000</v>
      </c>
      <c r="H13" t="s">
        <v>474</v>
      </c>
      <c r="J13">
        <f>HEX2DEC(C9)</f>
        <v>0</v>
      </c>
      <c r="N13" t="str">
        <f>+RIGHT(G16,1)</f>
        <v>0</v>
      </c>
      <c r="O13" s="133"/>
      <c r="P13" s="99">
        <f>_xlfn.NUMBERVALUE(N13)</f>
        <v>0</v>
      </c>
      <c r="Q13" s="99">
        <v>0</v>
      </c>
      <c r="R13" s="98" t="s">
        <v>448</v>
      </c>
      <c r="S13" s="123"/>
      <c r="T13" s="124" t="s">
        <v>441</v>
      </c>
      <c r="U13" s="124"/>
      <c r="V13" s="108">
        <f>+K17</f>
        <v>106</v>
      </c>
      <c r="W13" s="125" t="s">
        <v>442</v>
      </c>
      <c r="X13" s="124"/>
      <c r="Y13" s="126"/>
      <c r="Z13" s="137"/>
    </row>
    <row r="14" spans="1:26" ht="22.5" customHeight="1" x14ac:dyDescent="0.25">
      <c r="A14" s="104" t="s">
        <v>10</v>
      </c>
      <c r="B14" s="105" t="s">
        <v>429</v>
      </c>
      <c r="C14" s="104" t="str">
        <f t="shared" si="3"/>
        <v>6A</v>
      </c>
      <c r="D14" s="104" t="str">
        <f>RIGHT($R$11,26)</f>
        <v>8B14006A0020005D00280018D5</v>
      </c>
      <c r="E14" s="104">
        <f t="shared" si="0"/>
        <v>106</v>
      </c>
      <c r="F14" s="106" t="str">
        <f t="shared" si="1"/>
        <v>1101010</v>
      </c>
      <c r="G14" s="107" t="str">
        <f t="shared" si="2"/>
        <v>01101010</v>
      </c>
      <c r="M14" t="str">
        <f>LEFT($G$16,7)</f>
        <v>0001010</v>
      </c>
      <c r="N14" t="str">
        <f>RIGHT(M14,1)</f>
        <v>0</v>
      </c>
      <c r="O14" s="133"/>
      <c r="P14" s="99">
        <f t="shared" ref="P14:P28" si="4">_xlfn.NUMBERVALUE(N14)</f>
        <v>0</v>
      </c>
      <c r="Q14" s="99">
        <v>1</v>
      </c>
      <c r="R14" s="98" t="s">
        <v>449</v>
      </c>
      <c r="S14" s="123"/>
      <c r="T14" s="124" t="s">
        <v>443</v>
      </c>
      <c r="U14" s="124"/>
      <c r="V14" s="108">
        <f>+K19</f>
        <v>32</v>
      </c>
      <c r="W14" s="125" t="s">
        <v>447</v>
      </c>
      <c r="X14" s="124"/>
      <c r="Y14" s="126"/>
      <c r="Z14" s="137"/>
    </row>
    <row r="15" spans="1:26" ht="22.5" customHeight="1" x14ac:dyDescent="0.25">
      <c r="A15" s="100" t="s">
        <v>11</v>
      </c>
      <c r="B15" s="101" t="s">
        <v>430</v>
      </c>
      <c r="C15" s="100" t="str">
        <f t="shared" si="3"/>
        <v>8B</v>
      </c>
      <c r="D15" s="100" t="str">
        <f>RIGHT($R$11,24)</f>
        <v>14006A0020005D00280018D5</v>
      </c>
      <c r="E15" s="100">
        <f t="shared" si="0"/>
        <v>139</v>
      </c>
      <c r="F15" s="102" t="str">
        <f t="shared" si="1"/>
        <v>10001011</v>
      </c>
      <c r="G15" s="103" t="str">
        <f t="shared" si="2"/>
        <v>10001011</v>
      </c>
      <c r="M15" t="str">
        <f>LEFT($G$16,6)</f>
        <v>000101</v>
      </c>
      <c r="N15" t="str">
        <f>RIGHT(M15,1)</f>
        <v>1</v>
      </c>
      <c r="O15" s="133"/>
      <c r="P15" s="99">
        <f t="shared" si="4"/>
        <v>1</v>
      </c>
      <c r="Q15" s="99">
        <v>2</v>
      </c>
      <c r="R15" s="98" t="s">
        <v>450</v>
      </c>
      <c r="S15" s="123"/>
      <c r="T15" s="124" t="s">
        <v>444</v>
      </c>
      <c r="U15" s="124"/>
      <c r="V15" s="108">
        <f>+K21</f>
        <v>9.3000000000000007</v>
      </c>
      <c r="W15" s="125" t="s">
        <v>261</v>
      </c>
      <c r="X15" s="124"/>
      <c r="Y15" s="126"/>
      <c r="Z15" s="137"/>
    </row>
    <row r="16" spans="1:26" ht="22.5" customHeight="1" x14ac:dyDescent="0.25">
      <c r="A16" s="100" t="s">
        <v>12</v>
      </c>
      <c r="B16" s="101" t="s">
        <v>431</v>
      </c>
      <c r="C16" s="100" t="str">
        <f t="shared" si="3"/>
        <v>14</v>
      </c>
      <c r="D16" s="100" t="str">
        <f>RIGHT($R$11,22)</f>
        <v>006A0020005D00280018D5</v>
      </c>
      <c r="E16" s="100">
        <f t="shared" si="0"/>
        <v>20</v>
      </c>
      <c r="F16" s="102" t="str">
        <f t="shared" si="1"/>
        <v>10100</v>
      </c>
      <c r="G16" s="103" t="str">
        <f t="shared" si="2"/>
        <v>00010100</v>
      </c>
      <c r="M16" t="str">
        <f>LEFT($G$16,5)</f>
        <v>00010</v>
      </c>
      <c r="N16" t="str">
        <f t="shared" ref="N16:N20" si="5">RIGHT(M16,1)</f>
        <v>0</v>
      </c>
      <c r="O16" s="133"/>
      <c r="P16" s="99">
        <f t="shared" si="4"/>
        <v>0</v>
      </c>
      <c r="Q16" s="99">
        <v>3</v>
      </c>
      <c r="R16" s="98" t="s">
        <v>451</v>
      </c>
      <c r="S16" s="123"/>
      <c r="T16" s="124" t="s">
        <v>463</v>
      </c>
      <c r="U16" s="124"/>
      <c r="V16" s="108">
        <f>+K25</f>
        <v>24</v>
      </c>
      <c r="W16" s="125" t="s">
        <v>446</v>
      </c>
      <c r="X16" s="124"/>
      <c r="Y16" s="126"/>
      <c r="Z16" s="137"/>
    </row>
    <row r="17" spans="1:26" ht="22.5" customHeight="1" x14ac:dyDescent="0.25">
      <c r="A17" s="94" t="s">
        <v>13</v>
      </c>
      <c r="B17" s="95" t="s">
        <v>432</v>
      </c>
      <c r="C17" s="94" t="str">
        <f t="shared" si="3"/>
        <v>00</v>
      </c>
      <c r="D17" s="94" t="str">
        <f>RIGHT($R$11,20)</f>
        <v>6A0020005D00280018D5</v>
      </c>
      <c r="E17" s="94">
        <f t="shared" si="0"/>
        <v>0</v>
      </c>
      <c r="F17" s="96" t="str">
        <f t="shared" si="1"/>
        <v>0</v>
      </c>
      <c r="G17" s="94" t="str">
        <f t="shared" si="2"/>
        <v>00000000</v>
      </c>
      <c r="H17" t="s">
        <v>441</v>
      </c>
      <c r="J17" t="str">
        <f>CONCATENATE(C17,C18)</f>
        <v>006A</v>
      </c>
      <c r="K17" s="97">
        <f>HEX2DEC(J17)</f>
        <v>106</v>
      </c>
      <c r="L17" s="97" t="s">
        <v>442</v>
      </c>
      <c r="M17" t="str">
        <f>LEFT($G$16,4)</f>
        <v>0001</v>
      </c>
      <c r="N17" t="str">
        <f t="shared" si="5"/>
        <v>1</v>
      </c>
      <c r="O17" s="133"/>
      <c r="P17" s="99">
        <f t="shared" si="4"/>
        <v>1</v>
      </c>
      <c r="Q17" s="99">
        <v>4</v>
      </c>
      <c r="R17" s="98" t="s">
        <v>452</v>
      </c>
      <c r="S17" s="123"/>
      <c r="T17" s="124"/>
      <c r="U17" s="124"/>
      <c r="V17" s="124"/>
      <c r="W17" s="124"/>
      <c r="X17" s="124"/>
      <c r="Y17" s="126"/>
      <c r="Z17" s="137"/>
    </row>
    <row r="18" spans="1:26" ht="22.5" customHeight="1" x14ac:dyDescent="0.25">
      <c r="A18" s="94" t="s">
        <v>14</v>
      </c>
      <c r="B18" s="95" t="s">
        <v>433</v>
      </c>
      <c r="C18" s="94" t="str">
        <f t="shared" si="3"/>
        <v>6A</v>
      </c>
      <c r="D18" s="94" t="str">
        <f>RIGHT($R$11,18)</f>
        <v>0020005D00280018D5</v>
      </c>
      <c r="E18" s="94">
        <f t="shared" si="0"/>
        <v>106</v>
      </c>
      <c r="F18" s="96" t="str">
        <f t="shared" si="1"/>
        <v>1101010</v>
      </c>
      <c r="G18" s="94" t="str">
        <f t="shared" si="2"/>
        <v>01101010</v>
      </c>
      <c r="M18" t="str">
        <f>LEFT($G$16,3)</f>
        <v>000</v>
      </c>
      <c r="N18" t="str">
        <f t="shared" si="5"/>
        <v>0</v>
      </c>
      <c r="O18" s="133"/>
      <c r="P18" s="99">
        <f t="shared" si="4"/>
        <v>0</v>
      </c>
      <c r="Q18" s="99">
        <v>5</v>
      </c>
      <c r="R18" s="98" t="s">
        <v>453</v>
      </c>
      <c r="S18" s="123"/>
      <c r="T18" s="124" t="s">
        <v>475</v>
      </c>
      <c r="U18" s="124"/>
      <c r="V18" s="108">
        <f>+J6</f>
        <v>3</v>
      </c>
      <c r="W18" s="124" t="str">
        <f>+VLOOKUP(V18,'Telegram Send'!H21:I128,2,FALSE)</f>
        <v>Actual frequency</v>
      </c>
      <c r="X18" s="124"/>
      <c r="Y18" s="126"/>
      <c r="Z18" s="137"/>
    </row>
    <row r="19" spans="1:26" ht="22.5" customHeight="1" x14ac:dyDescent="0.25">
      <c r="A19" s="94" t="s">
        <v>15</v>
      </c>
      <c r="B19" s="95" t="s">
        <v>434</v>
      </c>
      <c r="C19" s="94" t="str">
        <f t="shared" si="3"/>
        <v>00</v>
      </c>
      <c r="D19" s="94" t="str">
        <f>RIGHT($R$11,16)</f>
        <v>20005D00280018D5</v>
      </c>
      <c r="E19" s="94">
        <f t="shared" si="0"/>
        <v>0</v>
      </c>
      <c r="F19" s="96" t="str">
        <f t="shared" si="1"/>
        <v>0</v>
      </c>
      <c r="G19" s="94" t="str">
        <f t="shared" si="2"/>
        <v>00000000</v>
      </c>
      <c r="H19" t="s">
        <v>443</v>
      </c>
      <c r="J19" t="str">
        <f>CONCATENATE(C19,C20)</f>
        <v>0020</v>
      </c>
      <c r="K19" s="97">
        <f>HEX2DEC(J19)</f>
        <v>32</v>
      </c>
      <c r="L19" s="97" t="s">
        <v>447</v>
      </c>
      <c r="M19" t="str">
        <f>LEFT($G$16,2)</f>
        <v>00</v>
      </c>
      <c r="N19" t="str">
        <f t="shared" si="5"/>
        <v>0</v>
      </c>
      <c r="O19" s="133"/>
      <c r="P19" s="99">
        <f t="shared" si="4"/>
        <v>0</v>
      </c>
      <c r="Q19" s="99">
        <v>6</v>
      </c>
      <c r="R19" s="98" t="s">
        <v>454</v>
      </c>
      <c r="S19" s="123"/>
      <c r="T19" s="124" t="s">
        <v>466</v>
      </c>
      <c r="U19" s="124"/>
      <c r="V19" s="108">
        <f>+J13</f>
        <v>0</v>
      </c>
      <c r="W19" s="124" t="s">
        <v>468</v>
      </c>
      <c r="X19" s="124"/>
      <c r="Y19" s="126"/>
      <c r="Z19" s="137"/>
    </row>
    <row r="20" spans="1:26" ht="22.5" customHeight="1" x14ac:dyDescent="0.25">
      <c r="A20" s="94" t="s">
        <v>16</v>
      </c>
      <c r="B20" s="95" t="s">
        <v>435</v>
      </c>
      <c r="C20" s="94" t="str">
        <f t="shared" si="3"/>
        <v>20</v>
      </c>
      <c r="D20" s="94" t="str">
        <f>RIGHT($R$11,14)</f>
        <v>005D00280018D5</v>
      </c>
      <c r="E20" s="94">
        <f t="shared" si="0"/>
        <v>32</v>
      </c>
      <c r="F20" s="96" t="str">
        <f t="shared" si="1"/>
        <v>100000</v>
      </c>
      <c r="G20" s="94" t="str">
        <f t="shared" si="2"/>
        <v>00100000</v>
      </c>
      <c r="M20" t="str">
        <f>LEFT($G$16,1)</f>
        <v>0</v>
      </c>
      <c r="N20" t="str">
        <f t="shared" si="5"/>
        <v>0</v>
      </c>
      <c r="O20" s="133"/>
      <c r="P20" s="99">
        <f t="shared" si="4"/>
        <v>0</v>
      </c>
      <c r="Q20" s="99">
        <v>7</v>
      </c>
      <c r="R20" s="98" t="s">
        <v>455</v>
      </c>
      <c r="S20" s="123"/>
      <c r="T20" s="124" t="s">
        <v>465</v>
      </c>
      <c r="U20" s="124"/>
      <c r="V20" s="108">
        <f>+J12</f>
        <v>106</v>
      </c>
      <c r="W20" s="124"/>
      <c r="X20" s="124"/>
      <c r="Y20" s="126"/>
      <c r="Z20" s="137"/>
    </row>
    <row r="21" spans="1:26" ht="22.5" customHeight="1" x14ac:dyDescent="0.25">
      <c r="A21" s="94" t="s">
        <v>17</v>
      </c>
      <c r="B21" s="95" t="s">
        <v>436</v>
      </c>
      <c r="C21" s="94" t="str">
        <f t="shared" si="3"/>
        <v>00</v>
      </c>
      <c r="D21" s="94" t="str">
        <f>RIGHT($R$11,12)</f>
        <v>5D00280018D5</v>
      </c>
      <c r="E21" s="94">
        <f t="shared" si="0"/>
        <v>0</v>
      </c>
      <c r="F21" s="96" t="str">
        <f t="shared" si="1"/>
        <v>0</v>
      </c>
      <c r="G21" s="94" t="str">
        <f t="shared" si="2"/>
        <v>00000000</v>
      </c>
      <c r="H21" t="s">
        <v>444</v>
      </c>
      <c r="J21" t="str">
        <f>CONCATENATE(C21,C22)</f>
        <v>005D</v>
      </c>
      <c r="K21" s="97">
        <f>HEX2DEC(J21)/10</f>
        <v>9.3000000000000007</v>
      </c>
      <c r="L21" s="97" t="s">
        <v>261</v>
      </c>
      <c r="N21" t="str">
        <f>+RIGHT(G15,1)</f>
        <v>1</v>
      </c>
      <c r="O21" s="133"/>
      <c r="P21" s="99">
        <f t="shared" si="4"/>
        <v>1</v>
      </c>
      <c r="Q21" s="99">
        <v>8</v>
      </c>
      <c r="R21" s="98" t="s">
        <v>449</v>
      </c>
      <c r="S21" s="123"/>
      <c r="T21" s="124"/>
      <c r="U21" s="124"/>
      <c r="V21" s="124"/>
      <c r="W21" s="124"/>
      <c r="X21" s="124"/>
      <c r="Y21" s="126"/>
      <c r="Z21" s="137"/>
    </row>
    <row r="22" spans="1:26" ht="22.5" customHeight="1" x14ac:dyDescent="0.25">
      <c r="A22" s="94" t="s">
        <v>18</v>
      </c>
      <c r="B22" s="95" t="s">
        <v>437</v>
      </c>
      <c r="C22" s="94" t="str">
        <f t="shared" si="3"/>
        <v>5D</v>
      </c>
      <c r="D22" s="94" t="str">
        <f>RIGHT($R$11,10)</f>
        <v>00280018D5</v>
      </c>
      <c r="E22" s="94">
        <f t="shared" si="0"/>
        <v>93</v>
      </c>
      <c r="F22" s="96" t="str">
        <f t="shared" si="1"/>
        <v>1011101</v>
      </c>
      <c r="G22" s="94" t="str">
        <f t="shared" si="2"/>
        <v>01011101</v>
      </c>
      <c r="M22" t="str">
        <f>LEFT($G$15,7)</f>
        <v>1000101</v>
      </c>
      <c r="N22" t="str">
        <f>RIGHT(M22,1)</f>
        <v>1</v>
      </c>
      <c r="O22" s="133"/>
      <c r="P22" s="99">
        <f t="shared" si="4"/>
        <v>1</v>
      </c>
      <c r="Q22" s="99">
        <v>9</v>
      </c>
      <c r="R22" s="98" t="s">
        <v>456</v>
      </c>
      <c r="S22" s="123"/>
      <c r="T22" s="124"/>
      <c r="U22" s="124"/>
      <c r="V22" s="124"/>
      <c r="W22" s="124"/>
      <c r="X22" s="124"/>
      <c r="Y22" s="126"/>
      <c r="Z22" s="137"/>
    </row>
    <row r="23" spans="1:26" ht="22.5" customHeight="1" x14ac:dyDescent="0.25">
      <c r="A23" s="94" t="s">
        <v>19</v>
      </c>
      <c r="B23" s="95" t="s">
        <v>425</v>
      </c>
      <c r="C23" s="94" t="str">
        <f t="shared" si="3"/>
        <v>00</v>
      </c>
      <c r="D23" s="94" t="str">
        <f>RIGHT($R$11,8)</f>
        <v>280018D5</v>
      </c>
      <c r="E23" s="94">
        <f t="shared" si="0"/>
        <v>0</v>
      </c>
      <c r="F23" s="96" t="str">
        <f t="shared" si="1"/>
        <v>0</v>
      </c>
      <c r="G23" s="94" t="str">
        <f t="shared" si="2"/>
        <v>00000000</v>
      </c>
      <c r="M23" t="str">
        <f>LEFT($G$15,6)</f>
        <v>100010</v>
      </c>
      <c r="N23" t="str">
        <f t="shared" ref="N23:N28" si="6">RIGHT(M23,1)</f>
        <v>0</v>
      </c>
      <c r="O23" s="133"/>
      <c r="P23" s="99">
        <f t="shared" si="4"/>
        <v>0</v>
      </c>
      <c r="Q23" s="99">
        <v>10</v>
      </c>
      <c r="R23" s="98" t="s">
        <v>457</v>
      </c>
      <c r="S23" s="123"/>
      <c r="T23" s="124"/>
      <c r="U23" s="124"/>
      <c r="V23" s="124"/>
      <c r="W23" s="124"/>
      <c r="X23" s="124"/>
      <c r="Y23" s="126"/>
      <c r="Z23" s="137"/>
    </row>
    <row r="24" spans="1:26" ht="22.5" customHeight="1" x14ac:dyDescent="0.25">
      <c r="A24" s="94" t="s">
        <v>20</v>
      </c>
      <c r="B24" s="95" t="s">
        <v>425</v>
      </c>
      <c r="C24" s="94" t="str">
        <f t="shared" si="3"/>
        <v>28</v>
      </c>
      <c r="D24" s="94" t="str">
        <f>RIGHT($R$11,6)</f>
        <v>0018D5</v>
      </c>
      <c r="E24" s="94">
        <f t="shared" si="0"/>
        <v>40</v>
      </c>
      <c r="F24" s="96" t="str">
        <f t="shared" si="1"/>
        <v>101000</v>
      </c>
      <c r="G24" s="94" t="str">
        <f t="shared" si="2"/>
        <v>00101000</v>
      </c>
      <c r="M24" t="str">
        <f>LEFT($G$15,5)</f>
        <v>10001</v>
      </c>
      <c r="N24" t="str">
        <f t="shared" si="6"/>
        <v>1</v>
      </c>
      <c r="O24" s="133"/>
      <c r="P24" s="99">
        <f t="shared" si="4"/>
        <v>1</v>
      </c>
      <c r="Q24" s="99">
        <v>11</v>
      </c>
      <c r="R24" s="98" t="s">
        <v>458</v>
      </c>
      <c r="S24" s="123"/>
      <c r="T24" s="124"/>
      <c r="U24" s="124"/>
      <c r="V24" s="124"/>
      <c r="W24" s="124"/>
      <c r="X24" s="124"/>
      <c r="Y24" s="126"/>
      <c r="Z24" s="137"/>
    </row>
    <row r="25" spans="1:26" ht="22.5" customHeight="1" x14ac:dyDescent="0.25">
      <c r="A25" s="94" t="s">
        <v>21</v>
      </c>
      <c r="B25" s="95" t="s">
        <v>438</v>
      </c>
      <c r="C25" s="94" t="str">
        <f t="shared" si="3"/>
        <v>00</v>
      </c>
      <c r="D25" s="94" t="str">
        <f>RIGHT($R$11,4)</f>
        <v>18D5</v>
      </c>
      <c r="E25" s="94">
        <f t="shared" si="0"/>
        <v>0</v>
      </c>
      <c r="F25" s="96" t="str">
        <f t="shared" si="1"/>
        <v>0</v>
      </c>
      <c r="G25" s="94" t="str">
        <f t="shared" si="2"/>
        <v>00000000</v>
      </c>
      <c r="H25" t="s">
        <v>445</v>
      </c>
      <c r="J25" t="str">
        <f>CONCATENATE(C25,C26)</f>
        <v>0018</v>
      </c>
      <c r="K25" s="97">
        <f>HEX2DEC(J25)</f>
        <v>24</v>
      </c>
      <c r="L25" s="97" t="s">
        <v>446</v>
      </c>
      <c r="M25" t="str">
        <f>LEFT($G$15,4)</f>
        <v>1000</v>
      </c>
      <c r="N25" t="str">
        <f t="shared" si="6"/>
        <v>0</v>
      </c>
      <c r="O25" s="133"/>
      <c r="P25" s="99">
        <f t="shared" si="4"/>
        <v>0</v>
      </c>
      <c r="Q25" s="99">
        <v>12</v>
      </c>
      <c r="R25" s="98" t="s">
        <v>449</v>
      </c>
      <c r="S25" s="123"/>
      <c r="T25" s="124"/>
      <c r="U25" s="124"/>
      <c r="V25" s="124"/>
      <c r="W25" s="124"/>
      <c r="X25" s="124"/>
      <c r="Y25" s="126"/>
      <c r="Z25" s="137"/>
    </row>
    <row r="26" spans="1:26" ht="22.5" customHeight="1" x14ac:dyDescent="0.25">
      <c r="A26" s="94" t="s">
        <v>22</v>
      </c>
      <c r="B26" s="95" t="s">
        <v>439</v>
      </c>
      <c r="C26" s="94" t="str">
        <f t="shared" si="3"/>
        <v>18</v>
      </c>
      <c r="D26" s="94" t="str">
        <f>RIGHT($R$11,2)</f>
        <v>D5</v>
      </c>
      <c r="E26" s="94">
        <f t="shared" si="0"/>
        <v>24</v>
      </c>
      <c r="F26" s="96" t="str">
        <f t="shared" si="1"/>
        <v>11000</v>
      </c>
      <c r="G26" s="94" t="str">
        <f t="shared" si="2"/>
        <v>00011000</v>
      </c>
      <c r="M26" t="str">
        <f>LEFT($G$15,3)</f>
        <v>100</v>
      </c>
      <c r="N26" t="str">
        <f t="shared" si="6"/>
        <v>0</v>
      </c>
      <c r="O26" s="133"/>
      <c r="P26" s="99">
        <f t="shared" si="4"/>
        <v>0</v>
      </c>
      <c r="Q26" s="99">
        <v>13</v>
      </c>
      <c r="R26" s="98" t="s">
        <v>459</v>
      </c>
      <c r="S26" s="123"/>
      <c r="T26" s="124"/>
      <c r="U26" s="124"/>
      <c r="V26" s="124"/>
      <c r="W26" s="124"/>
      <c r="X26" s="124"/>
      <c r="Y26" s="126"/>
      <c r="Z26" s="137"/>
    </row>
    <row r="27" spans="1:26" ht="22.5" customHeight="1" x14ac:dyDescent="0.25">
      <c r="A27" s="90" t="s">
        <v>23</v>
      </c>
      <c r="B27" s="92" t="s">
        <v>440</v>
      </c>
      <c r="C27" s="90" t="str">
        <f t="shared" si="3"/>
        <v>D5</v>
      </c>
      <c r="D27" s="90"/>
      <c r="E27" s="90">
        <f t="shared" si="0"/>
        <v>213</v>
      </c>
      <c r="F27" s="93" t="str">
        <f t="shared" si="1"/>
        <v>11010101</v>
      </c>
      <c r="G27" t="str">
        <f t="shared" si="2"/>
        <v>11010101</v>
      </c>
      <c r="M27" t="str">
        <f>LEFT($G$15,2)</f>
        <v>10</v>
      </c>
      <c r="N27" t="str">
        <f t="shared" si="6"/>
        <v>0</v>
      </c>
      <c r="O27" s="133"/>
      <c r="P27" s="99">
        <f t="shared" si="4"/>
        <v>0</v>
      </c>
      <c r="Q27" s="99">
        <v>14</v>
      </c>
      <c r="R27" s="98" t="s">
        <v>460</v>
      </c>
      <c r="S27" s="123"/>
      <c r="T27" s="124"/>
      <c r="U27" s="124"/>
      <c r="V27" s="124"/>
      <c r="W27" s="124"/>
      <c r="X27" s="124"/>
      <c r="Y27" s="126"/>
      <c r="Z27" s="137"/>
    </row>
    <row r="28" spans="1:26" x14ac:dyDescent="0.25">
      <c r="M28" t="str">
        <f>LEFT($G$15,1)</f>
        <v>1</v>
      </c>
      <c r="N28" t="str">
        <f t="shared" si="6"/>
        <v>1</v>
      </c>
      <c r="O28" s="133"/>
      <c r="P28" s="99">
        <f t="shared" si="4"/>
        <v>1</v>
      </c>
      <c r="Q28" s="99">
        <v>15</v>
      </c>
      <c r="R28" s="98" t="s">
        <v>461</v>
      </c>
      <c r="S28" s="127"/>
      <c r="T28" s="128"/>
      <c r="U28" s="128"/>
      <c r="V28" s="128"/>
      <c r="W28" s="128"/>
      <c r="X28" s="128"/>
      <c r="Y28" s="129"/>
      <c r="Z28" s="137"/>
    </row>
    <row r="29" spans="1:26" ht="15.75" thickBot="1" x14ac:dyDescent="0.3">
      <c r="O29" s="134"/>
      <c r="P29" s="135"/>
      <c r="Q29" s="135"/>
      <c r="R29" s="135"/>
      <c r="S29" s="135"/>
      <c r="T29" s="135"/>
      <c r="U29" s="135"/>
      <c r="V29" s="135"/>
      <c r="W29" s="135"/>
      <c r="X29" s="135"/>
      <c r="Y29" s="135"/>
      <c r="Z29" s="136"/>
    </row>
    <row r="30" spans="1:26" ht="15.75" thickTop="1" x14ac:dyDescent="0.25"/>
  </sheetData>
  <mergeCells count="3">
    <mergeCell ref="P12:R12"/>
    <mergeCell ref="R11:Y11"/>
    <mergeCell ref="P11:Q11"/>
  </mergeCells>
  <conditionalFormatting sqref="Q14">
    <cfRule type="expression" dxfId="4" priority="15">
      <formula>"n13&lt;1"</formula>
    </cfRule>
  </conditionalFormatting>
  <conditionalFormatting sqref="R13">
    <cfRule type="expression" dxfId="3" priority="5">
      <formula>P13=0</formula>
    </cfRule>
    <cfRule type="expression" dxfId="2" priority="7">
      <formula>P13=1</formula>
    </cfRule>
  </conditionalFormatting>
  <conditionalFormatting sqref="R14:R28">
    <cfRule type="expression" dxfId="1" priority="1">
      <formula>P14=0</formula>
    </cfRule>
    <cfRule type="expression" dxfId="0" priority="2">
      <formula>P14=1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 id="{FE4CB75A-744D-4A26-B727-2B9CB358223B}">
            <x14:iconSet iconSet="3TrafficLights2" custom="1">
              <x14:cfvo type="percent">
                <xm:f>0</xm:f>
              </x14:cfvo>
              <x14:cfvo type="num">
                <xm:f>0</xm:f>
              </x14:cfvo>
              <x14:cfvo type="num">
                <xm:f>1</xm:f>
              </x14:cfvo>
              <x14:cfIcon iconSet="3TrafficLights1" iconId="1"/>
              <x14:cfIcon iconSet="3TrafficLights1" iconId="0"/>
              <x14:cfIcon iconSet="3TrafficLights1" iconId="2"/>
            </x14:iconSet>
          </x14:cfRule>
          <xm:sqref>P13:P28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election activeCell="B2" sqref="B2"/>
    </sheetView>
  </sheetViews>
  <sheetFormatPr defaultRowHeight="15" x14ac:dyDescent="0.25"/>
  <sheetData>
    <row r="1" spans="1:4" x14ac:dyDescent="0.25">
      <c r="A1" t="s">
        <v>263</v>
      </c>
      <c r="B1" t="s">
        <v>264</v>
      </c>
      <c r="C1" t="s">
        <v>265</v>
      </c>
      <c r="D1" t="s">
        <v>32</v>
      </c>
    </row>
    <row r="2" spans="1:4" x14ac:dyDescent="0.25">
      <c r="A2" t="s">
        <v>257</v>
      </c>
      <c r="B2">
        <f>CODE(MID(A2,1,1))</f>
        <v>66</v>
      </c>
      <c r="C2" t="str">
        <f>+DEC2HEX(B2)</f>
        <v>42</v>
      </c>
      <c r="D2" t="str">
        <f>+HEX2BIN(C2)</f>
        <v>1000010</v>
      </c>
    </row>
    <row r="3" spans="1:4" x14ac:dyDescent="0.25">
      <c r="A3" t="s">
        <v>258</v>
      </c>
      <c r="B3">
        <f t="shared" ref="B3:B7" si="0">CODE(A3)</f>
        <v>66</v>
      </c>
      <c r="C3" t="str">
        <f t="shared" ref="C3:C7" si="1">+DEC2HEX(B3)</f>
        <v>42</v>
      </c>
      <c r="D3" t="str">
        <f t="shared" ref="D3:D7" si="2">+HEX2BIN(C3)</f>
        <v>1000010</v>
      </c>
    </row>
    <row r="4" spans="1:4" x14ac:dyDescent="0.25">
      <c r="A4" t="s">
        <v>259</v>
      </c>
      <c r="B4">
        <f t="shared" si="0"/>
        <v>82</v>
      </c>
      <c r="C4" t="str">
        <f t="shared" si="1"/>
        <v>52</v>
      </c>
      <c r="D4" t="str">
        <f t="shared" si="2"/>
        <v>1010010</v>
      </c>
    </row>
    <row r="5" spans="1:4" x14ac:dyDescent="0.25">
      <c r="A5" t="s">
        <v>260</v>
      </c>
      <c r="B5">
        <f t="shared" si="0"/>
        <v>73</v>
      </c>
      <c r="C5" t="str">
        <f t="shared" si="1"/>
        <v>49</v>
      </c>
      <c r="D5" t="str">
        <f t="shared" si="2"/>
        <v>1001001</v>
      </c>
    </row>
    <row r="6" spans="1:4" x14ac:dyDescent="0.25">
      <c r="A6" t="s">
        <v>261</v>
      </c>
      <c r="B6">
        <f t="shared" si="0"/>
        <v>65</v>
      </c>
      <c r="C6" t="str">
        <f t="shared" si="1"/>
        <v>41</v>
      </c>
      <c r="D6" t="str">
        <f t="shared" si="2"/>
        <v>1000001</v>
      </c>
    </row>
    <row r="7" spans="1:4" x14ac:dyDescent="0.25">
      <c r="A7" t="s">
        <v>262</v>
      </c>
      <c r="B7">
        <f t="shared" si="0"/>
        <v>78</v>
      </c>
      <c r="C7" t="str">
        <f t="shared" si="1"/>
        <v>4E</v>
      </c>
      <c r="D7" t="str">
        <f t="shared" si="2"/>
        <v>1001110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Telegram Send</vt:lpstr>
      <vt:lpstr>Telegram Receive</vt:lpstr>
      <vt:lpstr>Sheet4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BrianC</dc:creator>
  <cp:lastModifiedBy>Min</cp:lastModifiedBy>
  <dcterms:created xsi:type="dcterms:W3CDTF">2015-04-15T14:40:53Z</dcterms:created>
  <dcterms:modified xsi:type="dcterms:W3CDTF">2015-05-14T02:39:12Z</dcterms:modified>
</cp:coreProperties>
</file>